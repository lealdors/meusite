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ote_LENOVO\OneDrive\Documentos\GitHub\meusite\img\projetos\excel\"/>
    </mc:Choice>
  </mc:AlternateContent>
  <xr:revisionPtr revIDLastSave="0" documentId="13_ncr:1_{F6C3FE13-5D83-4F33-ADDA-5068D8FDAB7B}" xr6:coauthVersionLast="47" xr6:coauthVersionMax="47" xr10:uidLastSave="{00000000-0000-0000-0000-000000000000}"/>
  <bookViews>
    <workbookView xWindow="-108" yWindow="-108" windowWidth="23256" windowHeight="12456" firstSheet="3" activeTab="3" xr2:uid="{F769C1E0-F6FB-4DFA-B758-D191DEED23D0}"/>
  </bookViews>
  <sheets>
    <sheet name="Painel" sheetId="1" state="hidden" r:id="rId1"/>
    <sheet name="Base de Dados" sheetId="2" state="hidden" r:id="rId2"/>
    <sheet name="Aba auxiliar" sheetId="3" state="hidden" r:id="rId3"/>
    <sheet name="Bônus - Dashboard" sheetId="7" r:id="rId4"/>
    <sheet name="Desenvolvedor" sheetId="8" r:id="rId5"/>
  </sheets>
  <definedNames>
    <definedName name="_xlnm._FilterDatabase" localSheetId="2" hidden="1">'Aba auxiliar'!$F$2:$G$2</definedName>
    <definedName name="_xlnm._FilterDatabase" localSheetId="1" hidden="1">'Base de Dados'!$A$1:$E$1222</definedName>
    <definedName name="SegmentaçãodeDados_Departamento">#N/A</definedName>
    <definedName name="SegmentaçãodeDados_Tratativa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7" l="1"/>
  <c r="Q8" i="7"/>
  <c r="Q9" i="7"/>
  <c r="Q10" i="7"/>
  <c r="Q6" i="7"/>
  <c r="Q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5" i="7"/>
  <c r="M5" i="7"/>
  <c r="AV3" i="7" s="1"/>
  <c r="AV5" i="7" s="1"/>
  <c r="Z35" i="7"/>
  <c r="Z34" i="7"/>
  <c r="Z33" i="7"/>
  <c r="Z32" i="7"/>
  <c r="Z31" i="7"/>
  <c r="Z30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Z13" i="7"/>
  <c r="Z12" i="7"/>
  <c r="Z11" i="7"/>
  <c r="Z10" i="7"/>
  <c r="Z9" i="7"/>
  <c r="Z8" i="7"/>
  <c r="Z7" i="7"/>
  <c r="Z6" i="7"/>
  <c r="Z5" i="7"/>
  <c r="A3" i="7"/>
  <c r="AL3" i="7" s="1"/>
  <c r="AL5" i="7" s="1"/>
  <c r="C2" i="7"/>
  <c r="W10" i="7" s="1"/>
  <c r="D5" i="3"/>
  <c r="C5" i="3"/>
  <c r="D4" i="3"/>
  <c r="C4" i="3"/>
  <c r="D3" i="3"/>
  <c r="C3" i="3"/>
  <c r="J1" i="3"/>
  <c r="G38" i="3" s="1"/>
  <c r="J11" i="3" s="1"/>
  <c r="G1222" i="2"/>
  <c r="F1222" i="2"/>
  <c r="G1221" i="2"/>
  <c r="F1221" i="2"/>
  <c r="G1220" i="2"/>
  <c r="F1220" i="2"/>
  <c r="G1219" i="2"/>
  <c r="F1219" i="2"/>
  <c r="G1218" i="2"/>
  <c r="F1218" i="2"/>
  <c r="G1217" i="2"/>
  <c r="F1217" i="2"/>
  <c r="G1216" i="2"/>
  <c r="F1216" i="2"/>
  <c r="G1215" i="2"/>
  <c r="F1215" i="2"/>
  <c r="G1214" i="2"/>
  <c r="F1214" i="2"/>
  <c r="G1213" i="2"/>
  <c r="F1213" i="2"/>
  <c r="G1212" i="2"/>
  <c r="F1212" i="2"/>
  <c r="G1211" i="2"/>
  <c r="F1211" i="2"/>
  <c r="G1210" i="2"/>
  <c r="F1210" i="2"/>
  <c r="G1209" i="2"/>
  <c r="F1209" i="2"/>
  <c r="G1208" i="2"/>
  <c r="F1208" i="2"/>
  <c r="G1207" i="2"/>
  <c r="F1207" i="2"/>
  <c r="G1206" i="2"/>
  <c r="F1206" i="2"/>
  <c r="G1205" i="2"/>
  <c r="F1205" i="2"/>
  <c r="G1204" i="2"/>
  <c r="F1204" i="2"/>
  <c r="G1203" i="2"/>
  <c r="F1203" i="2"/>
  <c r="G1202" i="2"/>
  <c r="F1202" i="2"/>
  <c r="G1201" i="2"/>
  <c r="F1201" i="2"/>
  <c r="G1200" i="2"/>
  <c r="F1200" i="2"/>
  <c r="G1199" i="2"/>
  <c r="F1199" i="2"/>
  <c r="G1198" i="2"/>
  <c r="F1198" i="2"/>
  <c r="G1197" i="2"/>
  <c r="F1197" i="2"/>
  <c r="G1196" i="2"/>
  <c r="F1196" i="2"/>
  <c r="G1195" i="2"/>
  <c r="F1195" i="2"/>
  <c r="G1194" i="2"/>
  <c r="F1194" i="2"/>
  <c r="G1193" i="2"/>
  <c r="F1193" i="2"/>
  <c r="G1192" i="2"/>
  <c r="F1192" i="2"/>
  <c r="G1191" i="2"/>
  <c r="F1191" i="2"/>
  <c r="G1190" i="2"/>
  <c r="F1190" i="2"/>
  <c r="G1189" i="2"/>
  <c r="F1189" i="2"/>
  <c r="G1188" i="2"/>
  <c r="F1188" i="2"/>
  <c r="G1187" i="2"/>
  <c r="F1187" i="2"/>
  <c r="G1186" i="2"/>
  <c r="F1186" i="2"/>
  <c r="G1185" i="2"/>
  <c r="F1185" i="2"/>
  <c r="G1184" i="2"/>
  <c r="F1184" i="2"/>
  <c r="G1183" i="2"/>
  <c r="F1183" i="2"/>
  <c r="G1182" i="2"/>
  <c r="F1182" i="2"/>
  <c r="G1181" i="2"/>
  <c r="F1181" i="2"/>
  <c r="G1180" i="2"/>
  <c r="F1180" i="2"/>
  <c r="G1179" i="2"/>
  <c r="F1179" i="2"/>
  <c r="G1178" i="2"/>
  <c r="F1178" i="2"/>
  <c r="G1177" i="2"/>
  <c r="F1177" i="2"/>
  <c r="G1176" i="2"/>
  <c r="F1176" i="2"/>
  <c r="G1175" i="2"/>
  <c r="F1175" i="2"/>
  <c r="G1174" i="2"/>
  <c r="F1174" i="2"/>
  <c r="G1173" i="2"/>
  <c r="F1173" i="2"/>
  <c r="G1172" i="2"/>
  <c r="F1172" i="2"/>
  <c r="G1171" i="2"/>
  <c r="F1171" i="2"/>
  <c r="G1170" i="2"/>
  <c r="F1170" i="2"/>
  <c r="G1169" i="2"/>
  <c r="F1169" i="2"/>
  <c r="G1168" i="2"/>
  <c r="F1168" i="2"/>
  <c r="G1167" i="2"/>
  <c r="F1167" i="2"/>
  <c r="G1166" i="2"/>
  <c r="F1166" i="2"/>
  <c r="G1165" i="2"/>
  <c r="F1165" i="2"/>
  <c r="G1164" i="2"/>
  <c r="F1164" i="2"/>
  <c r="G1163" i="2"/>
  <c r="F1163" i="2"/>
  <c r="G1162" i="2"/>
  <c r="F1162" i="2"/>
  <c r="G1161" i="2"/>
  <c r="F1161" i="2"/>
  <c r="G1160" i="2"/>
  <c r="F1160" i="2"/>
  <c r="G1159" i="2"/>
  <c r="F1159" i="2"/>
  <c r="G1158" i="2"/>
  <c r="F1158" i="2"/>
  <c r="G1157" i="2"/>
  <c r="F1157" i="2"/>
  <c r="G1156" i="2"/>
  <c r="F1156" i="2"/>
  <c r="G1155" i="2"/>
  <c r="F1155" i="2"/>
  <c r="G1154" i="2"/>
  <c r="F1154" i="2"/>
  <c r="G1153" i="2"/>
  <c r="F1153" i="2"/>
  <c r="G1152" i="2"/>
  <c r="F1152" i="2"/>
  <c r="G1151" i="2"/>
  <c r="F1151" i="2"/>
  <c r="G1150" i="2"/>
  <c r="F1150" i="2"/>
  <c r="G1149" i="2"/>
  <c r="F1149" i="2"/>
  <c r="G1148" i="2"/>
  <c r="F1148" i="2"/>
  <c r="G1147" i="2"/>
  <c r="F1147" i="2"/>
  <c r="G1146" i="2"/>
  <c r="F1146" i="2"/>
  <c r="G1145" i="2"/>
  <c r="F1145" i="2"/>
  <c r="G1144" i="2"/>
  <c r="F1144" i="2"/>
  <c r="G1143" i="2"/>
  <c r="F1143" i="2"/>
  <c r="G1142" i="2"/>
  <c r="F1142" i="2"/>
  <c r="G1141" i="2"/>
  <c r="F1141" i="2"/>
  <c r="G1140" i="2"/>
  <c r="F1140" i="2"/>
  <c r="G1139" i="2"/>
  <c r="F1139" i="2"/>
  <c r="G1138" i="2"/>
  <c r="F1138" i="2"/>
  <c r="G1137" i="2"/>
  <c r="F1137" i="2"/>
  <c r="G1136" i="2"/>
  <c r="F1136" i="2"/>
  <c r="G1135" i="2"/>
  <c r="F1135" i="2"/>
  <c r="G1134" i="2"/>
  <c r="F1134" i="2"/>
  <c r="G1133" i="2"/>
  <c r="F1133" i="2"/>
  <c r="G1132" i="2"/>
  <c r="F1132" i="2"/>
  <c r="G1131" i="2"/>
  <c r="F1131" i="2"/>
  <c r="G1130" i="2"/>
  <c r="F1130" i="2"/>
  <c r="G1129" i="2"/>
  <c r="F1129" i="2"/>
  <c r="G1128" i="2"/>
  <c r="F1128" i="2"/>
  <c r="G1127" i="2"/>
  <c r="F1127" i="2"/>
  <c r="G1126" i="2"/>
  <c r="F1126" i="2"/>
  <c r="G1125" i="2"/>
  <c r="F1125" i="2"/>
  <c r="G1124" i="2"/>
  <c r="F1124" i="2"/>
  <c r="G1123" i="2"/>
  <c r="F1123" i="2"/>
  <c r="G1122" i="2"/>
  <c r="F1122" i="2"/>
  <c r="G1121" i="2"/>
  <c r="F1121" i="2"/>
  <c r="G1120" i="2"/>
  <c r="F1120" i="2"/>
  <c r="G1119" i="2"/>
  <c r="F1119" i="2"/>
  <c r="G1118" i="2"/>
  <c r="F1118" i="2"/>
  <c r="G1117" i="2"/>
  <c r="F1117" i="2"/>
  <c r="G1116" i="2"/>
  <c r="F1116" i="2"/>
  <c r="G1115" i="2"/>
  <c r="F1115" i="2"/>
  <c r="G1114" i="2"/>
  <c r="F1114" i="2"/>
  <c r="G1113" i="2"/>
  <c r="F1113" i="2"/>
  <c r="G1112" i="2"/>
  <c r="F1112" i="2"/>
  <c r="G1111" i="2"/>
  <c r="F1111" i="2"/>
  <c r="G1110" i="2"/>
  <c r="F1110" i="2"/>
  <c r="G1109" i="2"/>
  <c r="F1109" i="2"/>
  <c r="G1108" i="2"/>
  <c r="F1108" i="2"/>
  <c r="G1107" i="2"/>
  <c r="F1107" i="2"/>
  <c r="G1106" i="2"/>
  <c r="F1106" i="2"/>
  <c r="G1105" i="2"/>
  <c r="F1105" i="2"/>
  <c r="G1104" i="2"/>
  <c r="F1104" i="2"/>
  <c r="G1103" i="2"/>
  <c r="F1103" i="2"/>
  <c r="G1102" i="2"/>
  <c r="F1102" i="2"/>
  <c r="G1101" i="2"/>
  <c r="F1101" i="2"/>
  <c r="G1100" i="2"/>
  <c r="F1100" i="2"/>
  <c r="G1099" i="2"/>
  <c r="F1099" i="2"/>
  <c r="G1098" i="2"/>
  <c r="F1098" i="2"/>
  <c r="G1097" i="2"/>
  <c r="F1097" i="2"/>
  <c r="G1096" i="2"/>
  <c r="F1096" i="2"/>
  <c r="G1095" i="2"/>
  <c r="F1095" i="2"/>
  <c r="G1094" i="2"/>
  <c r="F1094" i="2"/>
  <c r="G1093" i="2"/>
  <c r="F1093" i="2"/>
  <c r="G1092" i="2"/>
  <c r="F1092" i="2"/>
  <c r="G1091" i="2"/>
  <c r="F1091" i="2"/>
  <c r="G1090" i="2"/>
  <c r="F1090" i="2"/>
  <c r="G1089" i="2"/>
  <c r="F1089" i="2"/>
  <c r="G1088" i="2"/>
  <c r="F1088" i="2"/>
  <c r="G1087" i="2"/>
  <c r="F1087" i="2"/>
  <c r="G1086" i="2"/>
  <c r="F1086" i="2"/>
  <c r="G1085" i="2"/>
  <c r="F1085" i="2"/>
  <c r="G1084" i="2"/>
  <c r="F1084" i="2"/>
  <c r="G1083" i="2"/>
  <c r="F1083" i="2"/>
  <c r="G1082" i="2"/>
  <c r="F1082" i="2"/>
  <c r="G1081" i="2"/>
  <c r="F1081" i="2"/>
  <c r="G1080" i="2"/>
  <c r="F1080" i="2"/>
  <c r="G1079" i="2"/>
  <c r="F1079" i="2"/>
  <c r="G1078" i="2"/>
  <c r="F1078" i="2"/>
  <c r="G1077" i="2"/>
  <c r="F1077" i="2"/>
  <c r="G1076" i="2"/>
  <c r="F1076" i="2"/>
  <c r="G1075" i="2"/>
  <c r="F1075" i="2"/>
  <c r="G1074" i="2"/>
  <c r="F1074" i="2"/>
  <c r="G1073" i="2"/>
  <c r="F1073" i="2"/>
  <c r="G1072" i="2"/>
  <c r="F1072" i="2"/>
  <c r="G1071" i="2"/>
  <c r="F1071" i="2"/>
  <c r="G1070" i="2"/>
  <c r="F1070" i="2"/>
  <c r="G1069" i="2"/>
  <c r="F1069" i="2"/>
  <c r="G1068" i="2"/>
  <c r="F1068" i="2"/>
  <c r="G1067" i="2"/>
  <c r="F1067" i="2"/>
  <c r="G1066" i="2"/>
  <c r="F1066" i="2"/>
  <c r="G1065" i="2"/>
  <c r="F1065" i="2"/>
  <c r="G1064" i="2"/>
  <c r="F1064" i="2"/>
  <c r="G1063" i="2"/>
  <c r="F1063" i="2"/>
  <c r="G1062" i="2"/>
  <c r="F1062" i="2"/>
  <c r="G1061" i="2"/>
  <c r="F1061" i="2"/>
  <c r="G1060" i="2"/>
  <c r="F1060" i="2"/>
  <c r="G1059" i="2"/>
  <c r="F1059" i="2"/>
  <c r="G1058" i="2"/>
  <c r="F1058" i="2"/>
  <c r="G1057" i="2"/>
  <c r="F1057" i="2"/>
  <c r="G1056" i="2"/>
  <c r="F1056" i="2"/>
  <c r="G1055" i="2"/>
  <c r="F1055" i="2"/>
  <c r="G1054" i="2"/>
  <c r="F1054" i="2"/>
  <c r="G1053" i="2"/>
  <c r="F1053" i="2"/>
  <c r="G1052" i="2"/>
  <c r="F1052" i="2"/>
  <c r="G1051" i="2"/>
  <c r="F1051" i="2"/>
  <c r="G1050" i="2"/>
  <c r="F1050" i="2"/>
  <c r="G1049" i="2"/>
  <c r="F1049" i="2"/>
  <c r="G1048" i="2"/>
  <c r="F1048" i="2"/>
  <c r="G1047" i="2"/>
  <c r="F1047" i="2"/>
  <c r="G1046" i="2"/>
  <c r="F1046" i="2"/>
  <c r="G1045" i="2"/>
  <c r="F1045" i="2"/>
  <c r="G1044" i="2"/>
  <c r="F1044" i="2"/>
  <c r="G1043" i="2"/>
  <c r="F1043" i="2"/>
  <c r="G1042" i="2"/>
  <c r="F1042" i="2"/>
  <c r="G1041" i="2"/>
  <c r="F1041" i="2"/>
  <c r="G1040" i="2"/>
  <c r="F1040" i="2"/>
  <c r="G1039" i="2"/>
  <c r="F1039" i="2"/>
  <c r="G1038" i="2"/>
  <c r="F1038" i="2"/>
  <c r="G1037" i="2"/>
  <c r="F1037" i="2"/>
  <c r="G1036" i="2"/>
  <c r="F1036" i="2"/>
  <c r="G1035" i="2"/>
  <c r="F1035" i="2"/>
  <c r="G1034" i="2"/>
  <c r="F1034" i="2"/>
  <c r="G1033" i="2"/>
  <c r="F1033" i="2"/>
  <c r="G1032" i="2"/>
  <c r="F1032" i="2"/>
  <c r="G1031" i="2"/>
  <c r="F1031" i="2"/>
  <c r="G1030" i="2"/>
  <c r="F1030" i="2"/>
  <c r="G1029" i="2"/>
  <c r="F1029" i="2"/>
  <c r="G1028" i="2"/>
  <c r="F1028" i="2"/>
  <c r="G1027" i="2"/>
  <c r="F1027" i="2"/>
  <c r="G1026" i="2"/>
  <c r="F1026" i="2"/>
  <c r="G1025" i="2"/>
  <c r="F1025" i="2"/>
  <c r="G1024" i="2"/>
  <c r="F1024" i="2"/>
  <c r="G1023" i="2"/>
  <c r="F1023" i="2"/>
  <c r="G1022" i="2"/>
  <c r="F1022" i="2"/>
  <c r="G1021" i="2"/>
  <c r="F1021" i="2"/>
  <c r="G1020" i="2"/>
  <c r="F1020" i="2"/>
  <c r="G1019" i="2"/>
  <c r="F1019" i="2"/>
  <c r="G1018" i="2"/>
  <c r="F1018" i="2"/>
  <c r="G1017" i="2"/>
  <c r="F1017" i="2"/>
  <c r="G1016" i="2"/>
  <c r="F1016" i="2"/>
  <c r="G1015" i="2"/>
  <c r="F1015" i="2"/>
  <c r="G1014" i="2"/>
  <c r="F1014" i="2"/>
  <c r="G1013" i="2"/>
  <c r="F1013" i="2"/>
  <c r="G1012" i="2"/>
  <c r="F1012" i="2"/>
  <c r="G1011" i="2"/>
  <c r="F1011" i="2"/>
  <c r="G1010" i="2"/>
  <c r="F1010" i="2"/>
  <c r="G1009" i="2"/>
  <c r="F1009" i="2"/>
  <c r="G1008" i="2"/>
  <c r="F1008" i="2"/>
  <c r="G1007" i="2"/>
  <c r="F1007" i="2"/>
  <c r="G1006" i="2"/>
  <c r="F1006" i="2"/>
  <c r="G1005" i="2"/>
  <c r="F1005" i="2"/>
  <c r="G1004" i="2"/>
  <c r="F1004" i="2"/>
  <c r="G1003" i="2"/>
  <c r="F1003" i="2"/>
  <c r="G1002" i="2"/>
  <c r="F1002" i="2"/>
  <c r="G1001" i="2"/>
  <c r="F1001" i="2"/>
  <c r="G1000" i="2"/>
  <c r="F1000" i="2"/>
  <c r="G999" i="2"/>
  <c r="F999" i="2"/>
  <c r="G998" i="2"/>
  <c r="F998" i="2"/>
  <c r="G997" i="2"/>
  <c r="F997" i="2"/>
  <c r="G996" i="2"/>
  <c r="F996" i="2"/>
  <c r="G995" i="2"/>
  <c r="F995" i="2"/>
  <c r="G994" i="2"/>
  <c r="F994" i="2"/>
  <c r="G993" i="2"/>
  <c r="F993" i="2"/>
  <c r="G992" i="2"/>
  <c r="F992" i="2"/>
  <c r="G991" i="2"/>
  <c r="F991" i="2"/>
  <c r="G990" i="2"/>
  <c r="F990" i="2"/>
  <c r="G989" i="2"/>
  <c r="F989" i="2"/>
  <c r="G988" i="2"/>
  <c r="F988" i="2"/>
  <c r="G987" i="2"/>
  <c r="F987" i="2"/>
  <c r="G986" i="2"/>
  <c r="F986" i="2"/>
  <c r="G985" i="2"/>
  <c r="F985" i="2"/>
  <c r="G984" i="2"/>
  <c r="F984" i="2"/>
  <c r="G983" i="2"/>
  <c r="F983" i="2"/>
  <c r="G982" i="2"/>
  <c r="F982" i="2"/>
  <c r="G981" i="2"/>
  <c r="F981" i="2"/>
  <c r="G980" i="2"/>
  <c r="F980" i="2"/>
  <c r="G979" i="2"/>
  <c r="F979" i="2"/>
  <c r="G978" i="2"/>
  <c r="F978" i="2"/>
  <c r="G977" i="2"/>
  <c r="F977" i="2"/>
  <c r="G976" i="2"/>
  <c r="F976" i="2"/>
  <c r="G975" i="2"/>
  <c r="F975" i="2"/>
  <c r="G974" i="2"/>
  <c r="F974" i="2"/>
  <c r="G973" i="2"/>
  <c r="F973" i="2"/>
  <c r="G972" i="2"/>
  <c r="F972" i="2"/>
  <c r="G971" i="2"/>
  <c r="F971" i="2"/>
  <c r="G970" i="2"/>
  <c r="F970" i="2"/>
  <c r="G969" i="2"/>
  <c r="F969" i="2"/>
  <c r="G968" i="2"/>
  <c r="F968" i="2"/>
  <c r="G967" i="2"/>
  <c r="F967" i="2"/>
  <c r="G966" i="2"/>
  <c r="F966" i="2"/>
  <c r="G965" i="2"/>
  <c r="F965" i="2"/>
  <c r="G964" i="2"/>
  <c r="F964" i="2"/>
  <c r="G963" i="2"/>
  <c r="F963" i="2"/>
  <c r="G962" i="2"/>
  <c r="F962" i="2"/>
  <c r="G961" i="2"/>
  <c r="F961" i="2"/>
  <c r="G960" i="2"/>
  <c r="F960" i="2"/>
  <c r="G959" i="2"/>
  <c r="F959" i="2"/>
  <c r="G958" i="2"/>
  <c r="F958" i="2"/>
  <c r="G957" i="2"/>
  <c r="F957" i="2"/>
  <c r="G956" i="2"/>
  <c r="F956" i="2"/>
  <c r="G955" i="2"/>
  <c r="F955" i="2"/>
  <c r="G954" i="2"/>
  <c r="F954" i="2"/>
  <c r="G953" i="2"/>
  <c r="F953" i="2"/>
  <c r="G952" i="2"/>
  <c r="F952" i="2"/>
  <c r="G951" i="2"/>
  <c r="F951" i="2"/>
  <c r="G950" i="2"/>
  <c r="F950" i="2"/>
  <c r="G949" i="2"/>
  <c r="F949" i="2"/>
  <c r="G948" i="2"/>
  <c r="F948" i="2"/>
  <c r="G947" i="2"/>
  <c r="F947" i="2"/>
  <c r="G946" i="2"/>
  <c r="F946" i="2"/>
  <c r="G945" i="2"/>
  <c r="F945" i="2"/>
  <c r="G944" i="2"/>
  <c r="F944" i="2"/>
  <c r="G943" i="2"/>
  <c r="F943" i="2"/>
  <c r="G942" i="2"/>
  <c r="F942" i="2"/>
  <c r="G941" i="2"/>
  <c r="F941" i="2"/>
  <c r="G940" i="2"/>
  <c r="F940" i="2"/>
  <c r="G939" i="2"/>
  <c r="F939" i="2"/>
  <c r="G938" i="2"/>
  <c r="F938" i="2"/>
  <c r="G937" i="2"/>
  <c r="F937" i="2"/>
  <c r="G936" i="2"/>
  <c r="F936" i="2"/>
  <c r="G935" i="2"/>
  <c r="F935" i="2"/>
  <c r="G934" i="2"/>
  <c r="F934" i="2"/>
  <c r="G933" i="2"/>
  <c r="F933" i="2"/>
  <c r="G932" i="2"/>
  <c r="F932" i="2"/>
  <c r="G931" i="2"/>
  <c r="F931" i="2"/>
  <c r="G930" i="2"/>
  <c r="F930" i="2"/>
  <c r="G929" i="2"/>
  <c r="F929" i="2"/>
  <c r="G928" i="2"/>
  <c r="F928" i="2"/>
  <c r="G927" i="2"/>
  <c r="F927" i="2"/>
  <c r="G926" i="2"/>
  <c r="F926" i="2"/>
  <c r="G925" i="2"/>
  <c r="F925" i="2"/>
  <c r="G924" i="2"/>
  <c r="F924" i="2"/>
  <c r="G923" i="2"/>
  <c r="F923" i="2"/>
  <c r="G922" i="2"/>
  <c r="F922" i="2"/>
  <c r="G921" i="2"/>
  <c r="F921" i="2"/>
  <c r="G920" i="2"/>
  <c r="F920" i="2"/>
  <c r="G919" i="2"/>
  <c r="F919" i="2"/>
  <c r="G918" i="2"/>
  <c r="F918" i="2"/>
  <c r="G917" i="2"/>
  <c r="F917" i="2"/>
  <c r="G916" i="2"/>
  <c r="F916" i="2"/>
  <c r="G915" i="2"/>
  <c r="F915" i="2"/>
  <c r="G914" i="2"/>
  <c r="F914" i="2"/>
  <c r="G913" i="2"/>
  <c r="F913" i="2"/>
  <c r="G912" i="2"/>
  <c r="F912" i="2"/>
  <c r="G911" i="2"/>
  <c r="F911" i="2"/>
  <c r="G910" i="2"/>
  <c r="F910" i="2"/>
  <c r="G909" i="2"/>
  <c r="F909" i="2"/>
  <c r="G908" i="2"/>
  <c r="F908" i="2"/>
  <c r="G907" i="2"/>
  <c r="F907" i="2"/>
  <c r="G906" i="2"/>
  <c r="F906" i="2"/>
  <c r="G905" i="2"/>
  <c r="F905" i="2"/>
  <c r="G904" i="2"/>
  <c r="F904" i="2"/>
  <c r="G903" i="2"/>
  <c r="F903" i="2"/>
  <c r="G902" i="2"/>
  <c r="F902" i="2"/>
  <c r="G901" i="2"/>
  <c r="F901" i="2"/>
  <c r="G900" i="2"/>
  <c r="F900" i="2"/>
  <c r="G899" i="2"/>
  <c r="F899" i="2"/>
  <c r="G898" i="2"/>
  <c r="F898" i="2"/>
  <c r="G897" i="2"/>
  <c r="F897" i="2"/>
  <c r="G896" i="2"/>
  <c r="F896" i="2"/>
  <c r="G895" i="2"/>
  <c r="F895" i="2"/>
  <c r="G894" i="2"/>
  <c r="F894" i="2"/>
  <c r="G893" i="2"/>
  <c r="F893" i="2"/>
  <c r="G892" i="2"/>
  <c r="F892" i="2"/>
  <c r="G891" i="2"/>
  <c r="F891" i="2"/>
  <c r="G890" i="2"/>
  <c r="F890" i="2"/>
  <c r="G889" i="2"/>
  <c r="F889" i="2"/>
  <c r="G888" i="2"/>
  <c r="F888" i="2"/>
  <c r="G887" i="2"/>
  <c r="F887" i="2"/>
  <c r="G886" i="2"/>
  <c r="F886" i="2"/>
  <c r="G885" i="2"/>
  <c r="F885" i="2"/>
  <c r="G884" i="2"/>
  <c r="F884" i="2"/>
  <c r="G883" i="2"/>
  <c r="F883" i="2"/>
  <c r="G882" i="2"/>
  <c r="F882" i="2"/>
  <c r="G881" i="2"/>
  <c r="F881" i="2"/>
  <c r="G880" i="2"/>
  <c r="F880" i="2"/>
  <c r="G879" i="2"/>
  <c r="F879" i="2"/>
  <c r="G878" i="2"/>
  <c r="F878" i="2"/>
  <c r="G877" i="2"/>
  <c r="F877" i="2"/>
  <c r="G876" i="2"/>
  <c r="F876" i="2"/>
  <c r="G875" i="2"/>
  <c r="F875" i="2"/>
  <c r="G874" i="2"/>
  <c r="F874" i="2"/>
  <c r="G873" i="2"/>
  <c r="F873" i="2"/>
  <c r="G872" i="2"/>
  <c r="F872" i="2"/>
  <c r="G871" i="2"/>
  <c r="F871" i="2"/>
  <c r="G870" i="2"/>
  <c r="F870" i="2"/>
  <c r="G869" i="2"/>
  <c r="F869" i="2"/>
  <c r="G868" i="2"/>
  <c r="F868" i="2"/>
  <c r="G867" i="2"/>
  <c r="F867" i="2"/>
  <c r="G866" i="2"/>
  <c r="F866" i="2"/>
  <c r="G865" i="2"/>
  <c r="F865" i="2"/>
  <c r="G864" i="2"/>
  <c r="F864" i="2"/>
  <c r="G863" i="2"/>
  <c r="F863" i="2"/>
  <c r="G862" i="2"/>
  <c r="F862" i="2"/>
  <c r="G861" i="2"/>
  <c r="F861" i="2"/>
  <c r="G860" i="2"/>
  <c r="F860" i="2"/>
  <c r="G859" i="2"/>
  <c r="F859" i="2"/>
  <c r="G858" i="2"/>
  <c r="F858" i="2"/>
  <c r="G857" i="2"/>
  <c r="F857" i="2"/>
  <c r="G856" i="2"/>
  <c r="F856" i="2"/>
  <c r="G855" i="2"/>
  <c r="F855" i="2"/>
  <c r="G854" i="2"/>
  <c r="F854" i="2"/>
  <c r="G853" i="2"/>
  <c r="F853" i="2"/>
  <c r="G852" i="2"/>
  <c r="F852" i="2"/>
  <c r="G851" i="2"/>
  <c r="F851" i="2"/>
  <c r="G850" i="2"/>
  <c r="F850" i="2"/>
  <c r="G849" i="2"/>
  <c r="F849" i="2"/>
  <c r="G848" i="2"/>
  <c r="F848" i="2"/>
  <c r="G847" i="2"/>
  <c r="F847" i="2"/>
  <c r="G846" i="2"/>
  <c r="F846" i="2"/>
  <c r="G845" i="2"/>
  <c r="F845" i="2"/>
  <c r="G844" i="2"/>
  <c r="F844" i="2"/>
  <c r="G843" i="2"/>
  <c r="F843" i="2"/>
  <c r="G842" i="2"/>
  <c r="F842" i="2"/>
  <c r="G841" i="2"/>
  <c r="F841" i="2"/>
  <c r="G840" i="2"/>
  <c r="F840" i="2"/>
  <c r="G839" i="2"/>
  <c r="F839" i="2"/>
  <c r="G838" i="2"/>
  <c r="F838" i="2"/>
  <c r="G837" i="2"/>
  <c r="F837" i="2"/>
  <c r="G836" i="2"/>
  <c r="F836" i="2"/>
  <c r="G835" i="2"/>
  <c r="F835" i="2"/>
  <c r="G834" i="2"/>
  <c r="F834" i="2"/>
  <c r="G833" i="2"/>
  <c r="F833" i="2"/>
  <c r="G832" i="2"/>
  <c r="F832" i="2"/>
  <c r="G831" i="2"/>
  <c r="F831" i="2"/>
  <c r="G830" i="2"/>
  <c r="F830" i="2"/>
  <c r="G829" i="2"/>
  <c r="F829" i="2"/>
  <c r="G828" i="2"/>
  <c r="F828" i="2"/>
  <c r="G827" i="2"/>
  <c r="F827" i="2"/>
  <c r="G826" i="2"/>
  <c r="F826" i="2"/>
  <c r="G825" i="2"/>
  <c r="F825" i="2"/>
  <c r="G824" i="2"/>
  <c r="F824" i="2"/>
  <c r="G823" i="2"/>
  <c r="F823" i="2"/>
  <c r="G822" i="2"/>
  <c r="F822" i="2"/>
  <c r="G821" i="2"/>
  <c r="F821" i="2"/>
  <c r="G820" i="2"/>
  <c r="F820" i="2"/>
  <c r="G819" i="2"/>
  <c r="F819" i="2"/>
  <c r="G818" i="2"/>
  <c r="F818" i="2"/>
  <c r="G817" i="2"/>
  <c r="F817" i="2"/>
  <c r="G816" i="2"/>
  <c r="F816" i="2"/>
  <c r="G815" i="2"/>
  <c r="F815" i="2"/>
  <c r="G814" i="2"/>
  <c r="F814" i="2"/>
  <c r="G813" i="2"/>
  <c r="F813" i="2"/>
  <c r="G812" i="2"/>
  <c r="F812" i="2"/>
  <c r="G811" i="2"/>
  <c r="F811" i="2"/>
  <c r="G810" i="2"/>
  <c r="F810" i="2"/>
  <c r="G809" i="2"/>
  <c r="F809" i="2"/>
  <c r="G808" i="2"/>
  <c r="F808" i="2"/>
  <c r="G807" i="2"/>
  <c r="F807" i="2"/>
  <c r="G806" i="2"/>
  <c r="F806" i="2"/>
  <c r="G805" i="2"/>
  <c r="F805" i="2"/>
  <c r="G804" i="2"/>
  <c r="F804" i="2"/>
  <c r="G803" i="2"/>
  <c r="F803" i="2"/>
  <c r="G802" i="2"/>
  <c r="F802" i="2"/>
  <c r="G801" i="2"/>
  <c r="F801" i="2"/>
  <c r="G800" i="2"/>
  <c r="F800" i="2"/>
  <c r="G799" i="2"/>
  <c r="F799" i="2"/>
  <c r="G798" i="2"/>
  <c r="F798" i="2"/>
  <c r="G797" i="2"/>
  <c r="F797" i="2"/>
  <c r="G796" i="2"/>
  <c r="F796" i="2"/>
  <c r="G795" i="2"/>
  <c r="F795" i="2"/>
  <c r="G794" i="2"/>
  <c r="F794" i="2"/>
  <c r="G793" i="2"/>
  <c r="F793" i="2"/>
  <c r="G792" i="2"/>
  <c r="F792" i="2"/>
  <c r="G791" i="2"/>
  <c r="F791" i="2"/>
  <c r="G790" i="2"/>
  <c r="F790" i="2"/>
  <c r="G789" i="2"/>
  <c r="F789" i="2"/>
  <c r="G788" i="2"/>
  <c r="F788" i="2"/>
  <c r="G787" i="2"/>
  <c r="F787" i="2"/>
  <c r="G786" i="2"/>
  <c r="F786" i="2"/>
  <c r="G785" i="2"/>
  <c r="F785" i="2"/>
  <c r="G784" i="2"/>
  <c r="F784" i="2"/>
  <c r="G783" i="2"/>
  <c r="F783" i="2"/>
  <c r="G782" i="2"/>
  <c r="F782" i="2"/>
  <c r="G781" i="2"/>
  <c r="F781" i="2"/>
  <c r="G780" i="2"/>
  <c r="F780" i="2"/>
  <c r="G779" i="2"/>
  <c r="F779" i="2"/>
  <c r="G778" i="2"/>
  <c r="F778" i="2"/>
  <c r="G777" i="2"/>
  <c r="F777" i="2"/>
  <c r="G776" i="2"/>
  <c r="F776" i="2"/>
  <c r="G775" i="2"/>
  <c r="F775" i="2"/>
  <c r="G774" i="2"/>
  <c r="F774" i="2"/>
  <c r="G773" i="2"/>
  <c r="F773" i="2"/>
  <c r="G772" i="2"/>
  <c r="F772" i="2"/>
  <c r="G771" i="2"/>
  <c r="F771" i="2"/>
  <c r="G770" i="2"/>
  <c r="F770" i="2"/>
  <c r="G769" i="2"/>
  <c r="F769" i="2"/>
  <c r="G768" i="2"/>
  <c r="F768" i="2"/>
  <c r="G767" i="2"/>
  <c r="F767" i="2"/>
  <c r="G766" i="2"/>
  <c r="F766" i="2"/>
  <c r="G765" i="2"/>
  <c r="F765" i="2"/>
  <c r="G764" i="2"/>
  <c r="F764" i="2"/>
  <c r="G763" i="2"/>
  <c r="F763" i="2"/>
  <c r="G762" i="2"/>
  <c r="F762" i="2"/>
  <c r="G761" i="2"/>
  <c r="F761" i="2"/>
  <c r="G760" i="2"/>
  <c r="F760" i="2"/>
  <c r="G759" i="2"/>
  <c r="F759" i="2"/>
  <c r="G758" i="2"/>
  <c r="F758" i="2"/>
  <c r="G757" i="2"/>
  <c r="F757" i="2"/>
  <c r="G756" i="2"/>
  <c r="F756" i="2"/>
  <c r="G755" i="2"/>
  <c r="F755" i="2"/>
  <c r="G754" i="2"/>
  <c r="F754" i="2"/>
  <c r="G753" i="2"/>
  <c r="F753" i="2"/>
  <c r="G752" i="2"/>
  <c r="F752" i="2"/>
  <c r="G751" i="2"/>
  <c r="F751" i="2"/>
  <c r="G750" i="2"/>
  <c r="F750" i="2"/>
  <c r="G749" i="2"/>
  <c r="F749" i="2"/>
  <c r="G748" i="2"/>
  <c r="F748" i="2"/>
  <c r="G747" i="2"/>
  <c r="F747" i="2"/>
  <c r="G746" i="2"/>
  <c r="F746" i="2"/>
  <c r="G745" i="2"/>
  <c r="F745" i="2"/>
  <c r="G744" i="2"/>
  <c r="F744" i="2"/>
  <c r="G743" i="2"/>
  <c r="F743" i="2"/>
  <c r="G742" i="2"/>
  <c r="F742" i="2"/>
  <c r="G741" i="2"/>
  <c r="F741" i="2"/>
  <c r="G740" i="2"/>
  <c r="F740" i="2"/>
  <c r="G739" i="2"/>
  <c r="F739" i="2"/>
  <c r="G738" i="2"/>
  <c r="F738" i="2"/>
  <c r="G737" i="2"/>
  <c r="F737" i="2"/>
  <c r="G736" i="2"/>
  <c r="F736" i="2"/>
  <c r="G735" i="2"/>
  <c r="F735" i="2"/>
  <c r="G734" i="2"/>
  <c r="F734" i="2"/>
  <c r="G733" i="2"/>
  <c r="F733" i="2"/>
  <c r="G732" i="2"/>
  <c r="F732" i="2"/>
  <c r="G731" i="2"/>
  <c r="F731" i="2"/>
  <c r="G730" i="2"/>
  <c r="F730" i="2"/>
  <c r="G729" i="2"/>
  <c r="F729" i="2"/>
  <c r="G728" i="2"/>
  <c r="F728" i="2"/>
  <c r="G727" i="2"/>
  <c r="F727" i="2"/>
  <c r="G726" i="2"/>
  <c r="F726" i="2"/>
  <c r="G725" i="2"/>
  <c r="F725" i="2"/>
  <c r="G724" i="2"/>
  <c r="F724" i="2"/>
  <c r="G723" i="2"/>
  <c r="F723" i="2"/>
  <c r="G722" i="2"/>
  <c r="F722" i="2"/>
  <c r="G721" i="2"/>
  <c r="F721" i="2"/>
  <c r="G720" i="2"/>
  <c r="F720" i="2"/>
  <c r="G719" i="2"/>
  <c r="F719" i="2"/>
  <c r="G718" i="2"/>
  <c r="F718" i="2"/>
  <c r="G717" i="2"/>
  <c r="F717" i="2"/>
  <c r="G716" i="2"/>
  <c r="F716" i="2"/>
  <c r="G715" i="2"/>
  <c r="F715" i="2"/>
  <c r="G714" i="2"/>
  <c r="F714" i="2"/>
  <c r="G713" i="2"/>
  <c r="F713" i="2"/>
  <c r="G712" i="2"/>
  <c r="F712" i="2"/>
  <c r="G711" i="2"/>
  <c r="F711" i="2"/>
  <c r="G710" i="2"/>
  <c r="F710" i="2"/>
  <c r="G709" i="2"/>
  <c r="F709" i="2"/>
  <c r="G708" i="2"/>
  <c r="F708" i="2"/>
  <c r="G707" i="2"/>
  <c r="F707" i="2"/>
  <c r="G706" i="2"/>
  <c r="F706" i="2"/>
  <c r="G705" i="2"/>
  <c r="F705" i="2"/>
  <c r="G704" i="2"/>
  <c r="F704" i="2"/>
  <c r="G703" i="2"/>
  <c r="F703" i="2"/>
  <c r="G702" i="2"/>
  <c r="F702" i="2"/>
  <c r="G701" i="2"/>
  <c r="F701" i="2"/>
  <c r="G700" i="2"/>
  <c r="F700" i="2"/>
  <c r="G699" i="2"/>
  <c r="F699" i="2"/>
  <c r="G698" i="2"/>
  <c r="F698" i="2"/>
  <c r="G697" i="2"/>
  <c r="F697" i="2"/>
  <c r="G696" i="2"/>
  <c r="F696" i="2"/>
  <c r="G695" i="2"/>
  <c r="F695" i="2"/>
  <c r="G694" i="2"/>
  <c r="F694" i="2"/>
  <c r="G693" i="2"/>
  <c r="F693" i="2"/>
  <c r="G692" i="2"/>
  <c r="F692" i="2"/>
  <c r="G691" i="2"/>
  <c r="F691" i="2"/>
  <c r="G690" i="2"/>
  <c r="F690" i="2"/>
  <c r="G689" i="2"/>
  <c r="F689" i="2"/>
  <c r="G688" i="2"/>
  <c r="F688" i="2"/>
  <c r="G687" i="2"/>
  <c r="F687" i="2"/>
  <c r="G686" i="2"/>
  <c r="F686" i="2"/>
  <c r="G685" i="2"/>
  <c r="F685" i="2"/>
  <c r="G684" i="2"/>
  <c r="F684" i="2"/>
  <c r="G683" i="2"/>
  <c r="F683" i="2"/>
  <c r="G682" i="2"/>
  <c r="F682" i="2"/>
  <c r="G681" i="2"/>
  <c r="F681" i="2"/>
  <c r="G680" i="2"/>
  <c r="F680" i="2"/>
  <c r="G679" i="2"/>
  <c r="F679" i="2"/>
  <c r="G678" i="2"/>
  <c r="F678" i="2"/>
  <c r="G677" i="2"/>
  <c r="F677" i="2"/>
  <c r="G676" i="2"/>
  <c r="F676" i="2"/>
  <c r="G675" i="2"/>
  <c r="F675" i="2"/>
  <c r="G674" i="2"/>
  <c r="F674" i="2"/>
  <c r="G673" i="2"/>
  <c r="F673" i="2"/>
  <c r="G672" i="2"/>
  <c r="F672" i="2"/>
  <c r="G671" i="2"/>
  <c r="F671" i="2"/>
  <c r="G670" i="2"/>
  <c r="F670" i="2"/>
  <c r="G669" i="2"/>
  <c r="F669" i="2"/>
  <c r="G668" i="2"/>
  <c r="F668" i="2"/>
  <c r="G667" i="2"/>
  <c r="F667" i="2"/>
  <c r="G666" i="2"/>
  <c r="F666" i="2"/>
  <c r="G665" i="2"/>
  <c r="F665" i="2"/>
  <c r="G664" i="2"/>
  <c r="F664" i="2"/>
  <c r="G663" i="2"/>
  <c r="F663" i="2"/>
  <c r="G662" i="2"/>
  <c r="F662" i="2"/>
  <c r="G661" i="2"/>
  <c r="F661" i="2"/>
  <c r="G660" i="2"/>
  <c r="F660" i="2"/>
  <c r="G659" i="2"/>
  <c r="F659" i="2"/>
  <c r="G658" i="2"/>
  <c r="F658" i="2"/>
  <c r="G657" i="2"/>
  <c r="F657" i="2"/>
  <c r="G656" i="2"/>
  <c r="F656" i="2"/>
  <c r="G655" i="2"/>
  <c r="F655" i="2"/>
  <c r="G654" i="2"/>
  <c r="F654" i="2"/>
  <c r="G653" i="2"/>
  <c r="F653" i="2"/>
  <c r="G652" i="2"/>
  <c r="F652" i="2"/>
  <c r="G651" i="2"/>
  <c r="F651" i="2"/>
  <c r="G650" i="2"/>
  <c r="F650" i="2"/>
  <c r="G649" i="2"/>
  <c r="F649" i="2"/>
  <c r="G648" i="2"/>
  <c r="F648" i="2"/>
  <c r="G647" i="2"/>
  <c r="F647" i="2"/>
  <c r="G646" i="2"/>
  <c r="F646" i="2"/>
  <c r="G645" i="2"/>
  <c r="F645" i="2"/>
  <c r="G644" i="2"/>
  <c r="F644" i="2"/>
  <c r="G643" i="2"/>
  <c r="F643" i="2"/>
  <c r="G642" i="2"/>
  <c r="F642" i="2"/>
  <c r="G641" i="2"/>
  <c r="F641" i="2"/>
  <c r="G640" i="2"/>
  <c r="F640" i="2"/>
  <c r="G639" i="2"/>
  <c r="F639" i="2"/>
  <c r="G638" i="2"/>
  <c r="F638" i="2"/>
  <c r="G637" i="2"/>
  <c r="F637" i="2"/>
  <c r="G636" i="2"/>
  <c r="F636" i="2"/>
  <c r="G635" i="2"/>
  <c r="F635" i="2"/>
  <c r="G634" i="2"/>
  <c r="F634" i="2"/>
  <c r="G633" i="2"/>
  <c r="F633" i="2"/>
  <c r="G632" i="2"/>
  <c r="F632" i="2"/>
  <c r="G631" i="2"/>
  <c r="F631" i="2"/>
  <c r="G630" i="2"/>
  <c r="F630" i="2"/>
  <c r="G629" i="2"/>
  <c r="F629" i="2"/>
  <c r="G628" i="2"/>
  <c r="F628" i="2"/>
  <c r="G627" i="2"/>
  <c r="F627" i="2"/>
  <c r="G626" i="2"/>
  <c r="F626" i="2"/>
  <c r="G625" i="2"/>
  <c r="F625" i="2"/>
  <c r="G624" i="2"/>
  <c r="F624" i="2"/>
  <c r="G623" i="2"/>
  <c r="F623" i="2"/>
  <c r="G622" i="2"/>
  <c r="F622" i="2"/>
  <c r="G621" i="2"/>
  <c r="F621" i="2"/>
  <c r="G620" i="2"/>
  <c r="F620" i="2"/>
  <c r="G619" i="2"/>
  <c r="F619" i="2"/>
  <c r="G618" i="2"/>
  <c r="F618" i="2"/>
  <c r="G617" i="2"/>
  <c r="F617" i="2"/>
  <c r="G616" i="2"/>
  <c r="F616" i="2"/>
  <c r="G615" i="2"/>
  <c r="F615" i="2"/>
  <c r="G614" i="2"/>
  <c r="F614" i="2"/>
  <c r="G613" i="2"/>
  <c r="F613" i="2"/>
  <c r="G612" i="2"/>
  <c r="F612" i="2"/>
  <c r="G611" i="2"/>
  <c r="F611" i="2"/>
  <c r="G610" i="2"/>
  <c r="F610" i="2"/>
  <c r="G609" i="2"/>
  <c r="F609" i="2"/>
  <c r="G608" i="2"/>
  <c r="F608" i="2"/>
  <c r="G607" i="2"/>
  <c r="F607" i="2"/>
  <c r="G606" i="2"/>
  <c r="F606" i="2"/>
  <c r="G605" i="2"/>
  <c r="F605" i="2"/>
  <c r="G604" i="2"/>
  <c r="F604" i="2"/>
  <c r="G603" i="2"/>
  <c r="F603" i="2"/>
  <c r="G602" i="2"/>
  <c r="F602" i="2"/>
  <c r="G601" i="2"/>
  <c r="F601" i="2"/>
  <c r="G600" i="2"/>
  <c r="F600" i="2"/>
  <c r="G599" i="2"/>
  <c r="F599" i="2"/>
  <c r="G598" i="2"/>
  <c r="F598" i="2"/>
  <c r="G597" i="2"/>
  <c r="F597" i="2"/>
  <c r="G596" i="2"/>
  <c r="F596" i="2"/>
  <c r="G595" i="2"/>
  <c r="F595" i="2"/>
  <c r="G594" i="2"/>
  <c r="F594" i="2"/>
  <c r="G593" i="2"/>
  <c r="F593" i="2"/>
  <c r="G592" i="2"/>
  <c r="F592" i="2"/>
  <c r="G591" i="2"/>
  <c r="F591" i="2"/>
  <c r="G590" i="2"/>
  <c r="F590" i="2"/>
  <c r="G589" i="2"/>
  <c r="F589" i="2"/>
  <c r="G588" i="2"/>
  <c r="F588" i="2"/>
  <c r="G587" i="2"/>
  <c r="F587" i="2"/>
  <c r="G586" i="2"/>
  <c r="F586" i="2"/>
  <c r="G585" i="2"/>
  <c r="F585" i="2"/>
  <c r="G584" i="2"/>
  <c r="F584" i="2"/>
  <c r="G583" i="2"/>
  <c r="F583" i="2"/>
  <c r="G582" i="2"/>
  <c r="F582" i="2"/>
  <c r="G581" i="2"/>
  <c r="F581" i="2"/>
  <c r="G580" i="2"/>
  <c r="F580" i="2"/>
  <c r="G579" i="2"/>
  <c r="F579" i="2"/>
  <c r="G578" i="2"/>
  <c r="F578" i="2"/>
  <c r="G577" i="2"/>
  <c r="F577" i="2"/>
  <c r="G576" i="2"/>
  <c r="F576" i="2"/>
  <c r="G575" i="2"/>
  <c r="F575" i="2"/>
  <c r="G574" i="2"/>
  <c r="F574" i="2"/>
  <c r="G573" i="2"/>
  <c r="F573" i="2"/>
  <c r="G572" i="2"/>
  <c r="F572" i="2"/>
  <c r="G571" i="2"/>
  <c r="F571" i="2"/>
  <c r="G570" i="2"/>
  <c r="F570" i="2"/>
  <c r="G569" i="2"/>
  <c r="F569" i="2"/>
  <c r="G568" i="2"/>
  <c r="F568" i="2"/>
  <c r="G567" i="2"/>
  <c r="F567" i="2"/>
  <c r="G566" i="2"/>
  <c r="F566" i="2"/>
  <c r="G565" i="2"/>
  <c r="F565" i="2"/>
  <c r="G564" i="2"/>
  <c r="F564" i="2"/>
  <c r="G563" i="2"/>
  <c r="F563" i="2"/>
  <c r="G562" i="2"/>
  <c r="F562" i="2"/>
  <c r="G561" i="2"/>
  <c r="F561" i="2"/>
  <c r="G560" i="2"/>
  <c r="F560" i="2"/>
  <c r="G559" i="2"/>
  <c r="F559" i="2"/>
  <c r="G558" i="2"/>
  <c r="F558" i="2"/>
  <c r="G557" i="2"/>
  <c r="F557" i="2"/>
  <c r="G556" i="2"/>
  <c r="F556" i="2"/>
  <c r="G555" i="2"/>
  <c r="F555" i="2"/>
  <c r="G554" i="2"/>
  <c r="F554" i="2"/>
  <c r="G553" i="2"/>
  <c r="F553" i="2"/>
  <c r="G552" i="2"/>
  <c r="F552" i="2"/>
  <c r="G551" i="2"/>
  <c r="F551" i="2"/>
  <c r="G550" i="2"/>
  <c r="F550" i="2"/>
  <c r="G549" i="2"/>
  <c r="F549" i="2"/>
  <c r="G548" i="2"/>
  <c r="F548" i="2"/>
  <c r="G547" i="2"/>
  <c r="F547" i="2"/>
  <c r="G546" i="2"/>
  <c r="F546" i="2"/>
  <c r="G545" i="2"/>
  <c r="F545" i="2"/>
  <c r="G544" i="2"/>
  <c r="F544" i="2"/>
  <c r="G543" i="2"/>
  <c r="F543" i="2"/>
  <c r="G542" i="2"/>
  <c r="F542" i="2"/>
  <c r="G541" i="2"/>
  <c r="F541" i="2"/>
  <c r="G540" i="2"/>
  <c r="F540" i="2"/>
  <c r="G539" i="2"/>
  <c r="F539" i="2"/>
  <c r="G538" i="2"/>
  <c r="F538" i="2"/>
  <c r="G537" i="2"/>
  <c r="F537" i="2"/>
  <c r="G536" i="2"/>
  <c r="F536" i="2"/>
  <c r="G535" i="2"/>
  <c r="F535" i="2"/>
  <c r="G534" i="2"/>
  <c r="F534" i="2"/>
  <c r="G533" i="2"/>
  <c r="F533" i="2"/>
  <c r="G532" i="2"/>
  <c r="F532" i="2"/>
  <c r="G531" i="2"/>
  <c r="F531" i="2"/>
  <c r="G530" i="2"/>
  <c r="F530" i="2"/>
  <c r="G529" i="2"/>
  <c r="F529" i="2"/>
  <c r="G528" i="2"/>
  <c r="F528" i="2"/>
  <c r="G527" i="2"/>
  <c r="F527" i="2"/>
  <c r="G526" i="2"/>
  <c r="F526" i="2"/>
  <c r="G525" i="2"/>
  <c r="F525" i="2"/>
  <c r="G524" i="2"/>
  <c r="F524" i="2"/>
  <c r="G523" i="2"/>
  <c r="F523" i="2"/>
  <c r="G522" i="2"/>
  <c r="F522" i="2"/>
  <c r="G521" i="2"/>
  <c r="F521" i="2"/>
  <c r="G520" i="2"/>
  <c r="F520" i="2"/>
  <c r="G519" i="2"/>
  <c r="F519" i="2"/>
  <c r="G518" i="2"/>
  <c r="F518" i="2"/>
  <c r="G517" i="2"/>
  <c r="F517" i="2"/>
  <c r="G516" i="2"/>
  <c r="F516" i="2"/>
  <c r="G515" i="2"/>
  <c r="F515" i="2"/>
  <c r="G514" i="2"/>
  <c r="F514" i="2"/>
  <c r="G513" i="2"/>
  <c r="F513" i="2"/>
  <c r="G512" i="2"/>
  <c r="F512" i="2"/>
  <c r="G511" i="2"/>
  <c r="F511" i="2"/>
  <c r="G510" i="2"/>
  <c r="F510" i="2"/>
  <c r="G509" i="2"/>
  <c r="F509" i="2"/>
  <c r="G508" i="2"/>
  <c r="F508" i="2"/>
  <c r="G507" i="2"/>
  <c r="F507" i="2"/>
  <c r="G506" i="2"/>
  <c r="F506" i="2"/>
  <c r="G505" i="2"/>
  <c r="F505" i="2"/>
  <c r="G504" i="2"/>
  <c r="F504" i="2"/>
  <c r="G503" i="2"/>
  <c r="F503" i="2"/>
  <c r="G502" i="2"/>
  <c r="F502" i="2"/>
  <c r="G501" i="2"/>
  <c r="F501" i="2"/>
  <c r="G500" i="2"/>
  <c r="F500" i="2"/>
  <c r="G499" i="2"/>
  <c r="F499" i="2"/>
  <c r="G498" i="2"/>
  <c r="F498" i="2"/>
  <c r="G497" i="2"/>
  <c r="F497" i="2"/>
  <c r="G496" i="2"/>
  <c r="F496" i="2"/>
  <c r="G495" i="2"/>
  <c r="F495" i="2"/>
  <c r="G494" i="2"/>
  <c r="F494" i="2"/>
  <c r="G493" i="2"/>
  <c r="F493" i="2"/>
  <c r="G492" i="2"/>
  <c r="F492" i="2"/>
  <c r="G491" i="2"/>
  <c r="F491" i="2"/>
  <c r="G490" i="2"/>
  <c r="F490" i="2"/>
  <c r="G489" i="2"/>
  <c r="F489" i="2"/>
  <c r="G488" i="2"/>
  <c r="F488" i="2"/>
  <c r="G487" i="2"/>
  <c r="F487" i="2"/>
  <c r="G486" i="2"/>
  <c r="F486" i="2"/>
  <c r="G485" i="2"/>
  <c r="F485" i="2"/>
  <c r="G484" i="2"/>
  <c r="F484" i="2"/>
  <c r="G483" i="2"/>
  <c r="F483" i="2"/>
  <c r="G482" i="2"/>
  <c r="F482" i="2"/>
  <c r="G481" i="2"/>
  <c r="F481" i="2"/>
  <c r="G480" i="2"/>
  <c r="F480" i="2"/>
  <c r="G479" i="2"/>
  <c r="F479" i="2"/>
  <c r="G478" i="2"/>
  <c r="F478" i="2"/>
  <c r="G477" i="2"/>
  <c r="F477" i="2"/>
  <c r="G476" i="2"/>
  <c r="F476" i="2"/>
  <c r="G475" i="2"/>
  <c r="F475" i="2"/>
  <c r="G474" i="2"/>
  <c r="F474" i="2"/>
  <c r="G473" i="2"/>
  <c r="F473" i="2"/>
  <c r="G472" i="2"/>
  <c r="F472" i="2"/>
  <c r="G471" i="2"/>
  <c r="F471" i="2"/>
  <c r="G470" i="2"/>
  <c r="F470" i="2"/>
  <c r="G469" i="2"/>
  <c r="F469" i="2"/>
  <c r="G468" i="2"/>
  <c r="F468" i="2"/>
  <c r="G467" i="2"/>
  <c r="F467" i="2"/>
  <c r="G466" i="2"/>
  <c r="F466" i="2"/>
  <c r="G465" i="2"/>
  <c r="F465" i="2"/>
  <c r="G464" i="2"/>
  <c r="F464" i="2"/>
  <c r="G463" i="2"/>
  <c r="F463" i="2"/>
  <c r="G462" i="2"/>
  <c r="F462" i="2"/>
  <c r="G461" i="2"/>
  <c r="F461" i="2"/>
  <c r="G460" i="2"/>
  <c r="F460" i="2"/>
  <c r="G459" i="2"/>
  <c r="F459" i="2"/>
  <c r="G458" i="2"/>
  <c r="F458" i="2"/>
  <c r="G457" i="2"/>
  <c r="F457" i="2"/>
  <c r="G456" i="2"/>
  <c r="F456" i="2"/>
  <c r="G455" i="2"/>
  <c r="F455" i="2"/>
  <c r="G454" i="2"/>
  <c r="F454" i="2"/>
  <c r="G453" i="2"/>
  <c r="F453" i="2"/>
  <c r="G452" i="2"/>
  <c r="F452" i="2"/>
  <c r="G451" i="2"/>
  <c r="F451" i="2"/>
  <c r="G450" i="2"/>
  <c r="F450" i="2"/>
  <c r="G449" i="2"/>
  <c r="F449" i="2"/>
  <c r="G448" i="2"/>
  <c r="F448" i="2"/>
  <c r="G447" i="2"/>
  <c r="F447" i="2"/>
  <c r="G446" i="2"/>
  <c r="F446" i="2"/>
  <c r="G445" i="2"/>
  <c r="F445" i="2"/>
  <c r="G444" i="2"/>
  <c r="F444" i="2"/>
  <c r="G443" i="2"/>
  <c r="F443" i="2"/>
  <c r="G442" i="2"/>
  <c r="F442" i="2"/>
  <c r="G441" i="2"/>
  <c r="F441" i="2"/>
  <c r="G440" i="2"/>
  <c r="F440" i="2"/>
  <c r="G439" i="2"/>
  <c r="F439" i="2"/>
  <c r="G438" i="2"/>
  <c r="F438" i="2"/>
  <c r="G437" i="2"/>
  <c r="F437" i="2"/>
  <c r="G436" i="2"/>
  <c r="F436" i="2"/>
  <c r="G435" i="2"/>
  <c r="F435" i="2"/>
  <c r="G434" i="2"/>
  <c r="F434" i="2"/>
  <c r="G433" i="2"/>
  <c r="F433" i="2"/>
  <c r="G432" i="2"/>
  <c r="F432" i="2"/>
  <c r="G431" i="2"/>
  <c r="F431" i="2"/>
  <c r="G430" i="2"/>
  <c r="F430" i="2"/>
  <c r="G429" i="2"/>
  <c r="F429" i="2"/>
  <c r="G428" i="2"/>
  <c r="F428" i="2"/>
  <c r="G427" i="2"/>
  <c r="F427" i="2"/>
  <c r="G426" i="2"/>
  <c r="F426" i="2"/>
  <c r="G425" i="2"/>
  <c r="F425" i="2"/>
  <c r="G424" i="2"/>
  <c r="F424" i="2"/>
  <c r="G423" i="2"/>
  <c r="F423" i="2"/>
  <c r="G422" i="2"/>
  <c r="F422" i="2"/>
  <c r="G421" i="2"/>
  <c r="F421" i="2"/>
  <c r="G420" i="2"/>
  <c r="F420" i="2"/>
  <c r="G419" i="2"/>
  <c r="F419" i="2"/>
  <c r="G418" i="2"/>
  <c r="F418" i="2"/>
  <c r="G417" i="2"/>
  <c r="F417" i="2"/>
  <c r="G416" i="2"/>
  <c r="F416" i="2"/>
  <c r="G415" i="2"/>
  <c r="F415" i="2"/>
  <c r="G414" i="2"/>
  <c r="F414" i="2"/>
  <c r="G413" i="2"/>
  <c r="F413" i="2"/>
  <c r="G412" i="2"/>
  <c r="F412" i="2"/>
  <c r="G411" i="2"/>
  <c r="F411" i="2"/>
  <c r="G410" i="2"/>
  <c r="F410" i="2"/>
  <c r="G409" i="2"/>
  <c r="F409" i="2"/>
  <c r="G408" i="2"/>
  <c r="F408" i="2"/>
  <c r="G407" i="2"/>
  <c r="F407" i="2"/>
  <c r="G406" i="2"/>
  <c r="F406" i="2"/>
  <c r="G405" i="2"/>
  <c r="F405" i="2"/>
  <c r="G404" i="2"/>
  <c r="F404" i="2"/>
  <c r="G403" i="2"/>
  <c r="F403" i="2"/>
  <c r="G402" i="2"/>
  <c r="F402" i="2"/>
  <c r="G401" i="2"/>
  <c r="F401" i="2"/>
  <c r="G400" i="2"/>
  <c r="F400" i="2"/>
  <c r="G399" i="2"/>
  <c r="F399" i="2"/>
  <c r="G398" i="2"/>
  <c r="F398" i="2"/>
  <c r="G397" i="2"/>
  <c r="F397" i="2"/>
  <c r="G396" i="2"/>
  <c r="F396" i="2"/>
  <c r="G395" i="2"/>
  <c r="F395" i="2"/>
  <c r="G394" i="2"/>
  <c r="F394" i="2"/>
  <c r="G393" i="2"/>
  <c r="F393" i="2"/>
  <c r="G392" i="2"/>
  <c r="F392" i="2"/>
  <c r="G391" i="2"/>
  <c r="F391" i="2"/>
  <c r="G390" i="2"/>
  <c r="F390" i="2"/>
  <c r="G389" i="2"/>
  <c r="F389" i="2"/>
  <c r="G388" i="2"/>
  <c r="F388" i="2"/>
  <c r="G387" i="2"/>
  <c r="F387" i="2"/>
  <c r="G386" i="2"/>
  <c r="F386" i="2"/>
  <c r="G385" i="2"/>
  <c r="F385" i="2"/>
  <c r="G384" i="2"/>
  <c r="F384" i="2"/>
  <c r="G383" i="2"/>
  <c r="F383" i="2"/>
  <c r="G382" i="2"/>
  <c r="F382" i="2"/>
  <c r="G381" i="2"/>
  <c r="F381" i="2"/>
  <c r="G380" i="2"/>
  <c r="F380" i="2"/>
  <c r="G379" i="2"/>
  <c r="F379" i="2"/>
  <c r="G378" i="2"/>
  <c r="F378" i="2"/>
  <c r="G377" i="2"/>
  <c r="F377" i="2"/>
  <c r="G376" i="2"/>
  <c r="F376" i="2"/>
  <c r="G375" i="2"/>
  <c r="F375" i="2"/>
  <c r="G374" i="2"/>
  <c r="F374" i="2"/>
  <c r="G373" i="2"/>
  <c r="F373" i="2"/>
  <c r="G372" i="2"/>
  <c r="F372" i="2"/>
  <c r="G371" i="2"/>
  <c r="F371" i="2"/>
  <c r="G370" i="2"/>
  <c r="F370" i="2"/>
  <c r="G369" i="2"/>
  <c r="F369" i="2"/>
  <c r="G368" i="2"/>
  <c r="F368" i="2"/>
  <c r="G367" i="2"/>
  <c r="F367" i="2"/>
  <c r="G366" i="2"/>
  <c r="F366" i="2"/>
  <c r="G365" i="2"/>
  <c r="F365" i="2"/>
  <c r="G364" i="2"/>
  <c r="F364" i="2"/>
  <c r="G363" i="2"/>
  <c r="F363" i="2"/>
  <c r="G362" i="2"/>
  <c r="F362" i="2"/>
  <c r="G361" i="2"/>
  <c r="F361" i="2"/>
  <c r="G360" i="2"/>
  <c r="F360" i="2"/>
  <c r="G359" i="2"/>
  <c r="F359" i="2"/>
  <c r="G358" i="2"/>
  <c r="F358" i="2"/>
  <c r="G357" i="2"/>
  <c r="F357" i="2"/>
  <c r="G356" i="2"/>
  <c r="F356" i="2"/>
  <c r="G355" i="2"/>
  <c r="F355" i="2"/>
  <c r="G354" i="2"/>
  <c r="F354" i="2"/>
  <c r="G353" i="2"/>
  <c r="F353" i="2"/>
  <c r="G352" i="2"/>
  <c r="F352" i="2"/>
  <c r="G351" i="2"/>
  <c r="F351" i="2"/>
  <c r="G350" i="2"/>
  <c r="F350" i="2"/>
  <c r="G349" i="2"/>
  <c r="F349" i="2"/>
  <c r="G348" i="2"/>
  <c r="F348" i="2"/>
  <c r="G347" i="2"/>
  <c r="F347" i="2"/>
  <c r="G346" i="2"/>
  <c r="F346" i="2"/>
  <c r="G345" i="2"/>
  <c r="F345" i="2"/>
  <c r="G344" i="2"/>
  <c r="F344" i="2"/>
  <c r="G343" i="2"/>
  <c r="F343" i="2"/>
  <c r="G342" i="2"/>
  <c r="F342" i="2"/>
  <c r="G341" i="2"/>
  <c r="F341" i="2"/>
  <c r="G340" i="2"/>
  <c r="F340" i="2"/>
  <c r="G339" i="2"/>
  <c r="F339" i="2"/>
  <c r="G338" i="2"/>
  <c r="F338" i="2"/>
  <c r="G337" i="2"/>
  <c r="F337" i="2"/>
  <c r="G336" i="2"/>
  <c r="F336" i="2"/>
  <c r="G335" i="2"/>
  <c r="F335" i="2"/>
  <c r="G334" i="2"/>
  <c r="F334" i="2"/>
  <c r="G333" i="2"/>
  <c r="F333" i="2"/>
  <c r="G332" i="2"/>
  <c r="F332" i="2"/>
  <c r="G331" i="2"/>
  <c r="F331" i="2"/>
  <c r="G330" i="2"/>
  <c r="F330" i="2"/>
  <c r="G329" i="2"/>
  <c r="F329" i="2"/>
  <c r="G328" i="2"/>
  <c r="F328" i="2"/>
  <c r="G327" i="2"/>
  <c r="F327" i="2"/>
  <c r="G326" i="2"/>
  <c r="F326" i="2"/>
  <c r="G325" i="2"/>
  <c r="F325" i="2"/>
  <c r="G324" i="2"/>
  <c r="F324" i="2"/>
  <c r="G323" i="2"/>
  <c r="F323" i="2"/>
  <c r="G322" i="2"/>
  <c r="F322" i="2"/>
  <c r="G321" i="2"/>
  <c r="F321" i="2"/>
  <c r="G320" i="2"/>
  <c r="F320" i="2"/>
  <c r="G319" i="2"/>
  <c r="F319" i="2"/>
  <c r="G318" i="2"/>
  <c r="F318" i="2"/>
  <c r="G317" i="2"/>
  <c r="F317" i="2"/>
  <c r="G316" i="2"/>
  <c r="F316" i="2"/>
  <c r="G315" i="2"/>
  <c r="F315" i="2"/>
  <c r="G314" i="2"/>
  <c r="F314" i="2"/>
  <c r="G313" i="2"/>
  <c r="F313" i="2"/>
  <c r="G312" i="2"/>
  <c r="F312" i="2"/>
  <c r="G311" i="2"/>
  <c r="F311" i="2"/>
  <c r="G310" i="2"/>
  <c r="F310" i="2"/>
  <c r="G309" i="2"/>
  <c r="F309" i="2"/>
  <c r="G308" i="2"/>
  <c r="F308" i="2"/>
  <c r="G307" i="2"/>
  <c r="F307" i="2"/>
  <c r="G306" i="2"/>
  <c r="F306" i="2"/>
  <c r="G305" i="2"/>
  <c r="F305" i="2"/>
  <c r="G304" i="2"/>
  <c r="F304" i="2"/>
  <c r="G303" i="2"/>
  <c r="F303" i="2"/>
  <c r="G302" i="2"/>
  <c r="F302" i="2"/>
  <c r="G301" i="2"/>
  <c r="F301" i="2"/>
  <c r="G300" i="2"/>
  <c r="F300" i="2"/>
  <c r="G299" i="2"/>
  <c r="F299" i="2"/>
  <c r="G298" i="2"/>
  <c r="F298" i="2"/>
  <c r="G297" i="2"/>
  <c r="F297" i="2"/>
  <c r="G296" i="2"/>
  <c r="F296" i="2"/>
  <c r="G295" i="2"/>
  <c r="F295" i="2"/>
  <c r="G294" i="2"/>
  <c r="F294" i="2"/>
  <c r="G293" i="2"/>
  <c r="F293" i="2"/>
  <c r="G292" i="2"/>
  <c r="F292" i="2"/>
  <c r="G291" i="2"/>
  <c r="F291" i="2"/>
  <c r="G290" i="2"/>
  <c r="F290" i="2"/>
  <c r="G289" i="2"/>
  <c r="F289" i="2"/>
  <c r="G288" i="2"/>
  <c r="F288" i="2"/>
  <c r="G287" i="2"/>
  <c r="F287" i="2"/>
  <c r="G286" i="2"/>
  <c r="F286" i="2"/>
  <c r="G285" i="2"/>
  <c r="F285" i="2"/>
  <c r="G284" i="2"/>
  <c r="F284" i="2"/>
  <c r="G283" i="2"/>
  <c r="F283" i="2"/>
  <c r="G282" i="2"/>
  <c r="F282" i="2"/>
  <c r="G281" i="2"/>
  <c r="F281" i="2"/>
  <c r="G280" i="2"/>
  <c r="F280" i="2"/>
  <c r="G279" i="2"/>
  <c r="F279" i="2"/>
  <c r="G278" i="2"/>
  <c r="F278" i="2"/>
  <c r="G277" i="2"/>
  <c r="F277" i="2"/>
  <c r="G276" i="2"/>
  <c r="F276" i="2"/>
  <c r="G275" i="2"/>
  <c r="F275" i="2"/>
  <c r="G274" i="2"/>
  <c r="F274" i="2"/>
  <c r="G273" i="2"/>
  <c r="F273" i="2"/>
  <c r="G272" i="2"/>
  <c r="F272" i="2"/>
  <c r="G271" i="2"/>
  <c r="F271" i="2"/>
  <c r="G270" i="2"/>
  <c r="F270" i="2"/>
  <c r="G269" i="2"/>
  <c r="F269" i="2"/>
  <c r="G268" i="2"/>
  <c r="F268" i="2"/>
  <c r="G267" i="2"/>
  <c r="F267" i="2"/>
  <c r="G266" i="2"/>
  <c r="F266" i="2"/>
  <c r="G265" i="2"/>
  <c r="F265" i="2"/>
  <c r="G264" i="2"/>
  <c r="F264" i="2"/>
  <c r="G263" i="2"/>
  <c r="F263" i="2"/>
  <c r="G262" i="2"/>
  <c r="F262" i="2"/>
  <c r="G261" i="2"/>
  <c r="F261" i="2"/>
  <c r="G260" i="2"/>
  <c r="F260" i="2"/>
  <c r="G259" i="2"/>
  <c r="F259" i="2"/>
  <c r="G258" i="2"/>
  <c r="F258" i="2"/>
  <c r="G257" i="2"/>
  <c r="F257" i="2"/>
  <c r="G256" i="2"/>
  <c r="F256" i="2"/>
  <c r="G255" i="2"/>
  <c r="F255" i="2"/>
  <c r="G254" i="2"/>
  <c r="F254" i="2"/>
  <c r="G253" i="2"/>
  <c r="F253" i="2"/>
  <c r="G252" i="2"/>
  <c r="F252" i="2"/>
  <c r="G251" i="2"/>
  <c r="F251" i="2"/>
  <c r="G250" i="2"/>
  <c r="F250" i="2"/>
  <c r="G249" i="2"/>
  <c r="F249" i="2"/>
  <c r="G248" i="2"/>
  <c r="F248" i="2"/>
  <c r="G247" i="2"/>
  <c r="F247" i="2"/>
  <c r="G246" i="2"/>
  <c r="F246" i="2"/>
  <c r="G245" i="2"/>
  <c r="F245" i="2"/>
  <c r="G244" i="2"/>
  <c r="F244" i="2"/>
  <c r="G243" i="2"/>
  <c r="F243" i="2"/>
  <c r="G242" i="2"/>
  <c r="F242" i="2"/>
  <c r="G241" i="2"/>
  <c r="F241" i="2"/>
  <c r="G240" i="2"/>
  <c r="F240" i="2"/>
  <c r="G239" i="2"/>
  <c r="F239" i="2"/>
  <c r="G238" i="2"/>
  <c r="F238" i="2"/>
  <c r="G237" i="2"/>
  <c r="F237" i="2"/>
  <c r="G236" i="2"/>
  <c r="F236" i="2"/>
  <c r="G235" i="2"/>
  <c r="F235" i="2"/>
  <c r="G234" i="2"/>
  <c r="F234" i="2"/>
  <c r="G233" i="2"/>
  <c r="F233" i="2"/>
  <c r="G232" i="2"/>
  <c r="F232" i="2"/>
  <c r="G231" i="2"/>
  <c r="F231" i="2"/>
  <c r="G230" i="2"/>
  <c r="F230" i="2"/>
  <c r="G229" i="2"/>
  <c r="F229" i="2"/>
  <c r="G228" i="2"/>
  <c r="F228" i="2"/>
  <c r="G227" i="2"/>
  <c r="F227" i="2"/>
  <c r="G226" i="2"/>
  <c r="F226" i="2"/>
  <c r="G225" i="2"/>
  <c r="F225" i="2"/>
  <c r="G224" i="2"/>
  <c r="F224" i="2"/>
  <c r="G223" i="2"/>
  <c r="F223" i="2"/>
  <c r="G222" i="2"/>
  <c r="F222" i="2"/>
  <c r="G221" i="2"/>
  <c r="F221" i="2"/>
  <c r="G220" i="2"/>
  <c r="F220" i="2"/>
  <c r="G219" i="2"/>
  <c r="F219" i="2"/>
  <c r="G218" i="2"/>
  <c r="F218" i="2"/>
  <c r="G217" i="2"/>
  <c r="F217" i="2"/>
  <c r="G216" i="2"/>
  <c r="F216" i="2"/>
  <c r="G215" i="2"/>
  <c r="F215" i="2"/>
  <c r="G214" i="2"/>
  <c r="F214" i="2"/>
  <c r="G213" i="2"/>
  <c r="F213" i="2"/>
  <c r="G212" i="2"/>
  <c r="F212" i="2"/>
  <c r="G211" i="2"/>
  <c r="F211" i="2"/>
  <c r="G210" i="2"/>
  <c r="F210" i="2"/>
  <c r="G209" i="2"/>
  <c r="F209" i="2"/>
  <c r="G208" i="2"/>
  <c r="F208" i="2"/>
  <c r="G207" i="2"/>
  <c r="F207" i="2"/>
  <c r="G206" i="2"/>
  <c r="F206" i="2"/>
  <c r="G205" i="2"/>
  <c r="F205" i="2"/>
  <c r="G204" i="2"/>
  <c r="F204" i="2"/>
  <c r="G203" i="2"/>
  <c r="F203" i="2"/>
  <c r="G202" i="2"/>
  <c r="F202" i="2"/>
  <c r="G201" i="2"/>
  <c r="F201" i="2"/>
  <c r="G200" i="2"/>
  <c r="F200" i="2"/>
  <c r="G199" i="2"/>
  <c r="F199" i="2"/>
  <c r="G198" i="2"/>
  <c r="F198" i="2"/>
  <c r="G197" i="2"/>
  <c r="F197" i="2"/>
  <c r="G196" i="2"/>
  <c r="F196" i="2"/>
  <c r="G195" i="2"/>
  <c r="F195" i="2"/>
  <c r="G194" i="2"/>
  <c r="F194" i="2"/>
  <c r="G193" i="2"/>
  <c r="F193" i="2"/>
  <c r="G192" i="2"/>
  <c r="F192" i="2"/>
  <c r="G191" i="2"/>
  <c r="F191" i="2"/>
  <c r="G190" i="2"/>
  <c r="F190" i="2"/>
  <c r="G189" i="2"/>
  <c r="F189" i="2"/>
  <c r="G188" i="2"/>
  <c r="F188" i="2"/>
  <c r="G187" i="2"/>
  <c r="F187" i="2"/>
  <c r="G186" i="2"/>
  <c r="F186" i="2"/>
  <c r="G185" i="2"/>
  <c r="F185" i="2"/>
  <c r="G184" i="2"/>
  <c r="F184" i="2"/>
  <c r="G183" i="2"/>
  <c r="F183" i="2"/>
  <c r="G182" i="2"/>
  <c r="F182" i="2"/>
  <c r="G181" i="2"/>
  <c r="F181" i="2"/>
  <c r="G180" i="2"/>
  <c r="F180" i="2"/>
  <c r="G179" i="2"/>
  <c r="F179" i="2"/>
  <c r="G178" i="2"/>
  <c r="F178" i="2"/>
  <c r="G177" i="2"/>
  <c r="F177" i="2"/>
  <c r="G176" i="2"/>
  <c r="F176" i="2"/>
  <c r="G175" i="2"/>
  <c r="F175" i="2"/>
  <c r="G174" i="2"/>
  <c r="F174" i="2"/>
  <c r="G173" i="2"/>
  <c r="F173" i="2"/>
  <c r="G172" i="2"/>
  <c r="F172" i="2"/>
  <c r="G171" i="2"/>
  <c r="F171" i="2"/>
  <c r="G170" i="2"/>
  <c r="F170" i="2"/>
  <c r="G169" i="2"/>
  <c r="F169" i="2"/>
  <c r="G168" i="2"/>
  <c r="F168" i="2"/>
  <c r="G167" i="2"/>
  <c r="F167" i="2"/>
  <c r="G166" i="2"/>
  <c r="F166" i="2"/>
  <c r="G165" i="2"/>
  <c r="F165" i="2"/>
  <c r="G164" i="2"/>
  <c r="F164" i="2"/>
  <c r="G163" i="2"/>
  <c r="F163" i="2"/>
  <c r="G162" i="2"/>
  <c r="F162" i="2"/>
  <c r="G161" i="2"/>
  <c r="F161" i="2"/>
  <c r="G160" i="2"/>
  <c r="F160" i="2"/>
  <c r="G159" i="2"/>
  <c r="F159" i="2"/>
  <c r="G158" i="2"/>
  <c r="F158" i="2"/>
  <c r="G157" i="2"/>
  <c r="F157" i="2"/>
  <c r="G156" i="2"/>
  <c r="F156" i="2"/>
  <c r="G155" i="2"/>
  <c r="F155" i="2"/>
  <c r="G154" i="2"/>
  <c r="F154" i="2"/>
  <c r="G153" i="2"/>
  <c r="F153" i="2"/>
  <c r="G152" i="2"/>
  <c r="F152" i="2"/>
  <c r="G151" i="2"/>
  <c r="F151" i="2"/>
  <c r="G150" i="2"/>
  <c r="F150" i="2"/>
  <c r="G149" i="2"/>
  <c r="F149" i="2"/>
  <c r="G148" i="2"/>
  <c r="F148" i="2"/>
  <c r="G147" i="2"/>
  <c r="F147" i="2"/>
  <c r="G146" i="2"/>
  <c r="F146" i="2"/>
  <c r="G145" i="2"/>
  <c r="F145" i="2"/>
  <c r="G144" i="2"/>
  <c r="F144" i="2"/>
  <c r="G143" i="2"/>
  <c r="F143" i="2"/>
  <c r="G142" i="2"/>
  <c r="F142" i="2"/>
  <c r="G141" i="2"/>
  <c r="F141" i="2"/>
  <c r="G140" i="2"/>
  <c r="F140" i="2"/>
  <c r="G139" i="2"/>
  <c r="F139" i="2"/>
  <c r="G138" i="2"/>
  <c r="F138" i="2"/>
  <c r="G137" i="2"/>
  <c r="F137" i="2"/>
  <c r="G136" i="2"/>
  <c r="F136" i="2"/>
  <c r="G135" i="2"/>
  <c r="F135" i="2"/>
  <c r="G134" i="2"/>
  <c r="F134" i="2"/>
  <c r="G133" i="2"/>
  <c r="F133" i="2"/>
  <c r="G132" i="2"/>
  <c r="F132" i="2"/>
  <c r="G131" i="2"/>
  <c r="F131" i="2"/>
  <c r="G130" i="2"/>
  <c r="F130" i="2"/>
  <c r="G129" i="2"/>
  <c r="F129" i="2"/>
  <c r="G128" i="2"/>
  <c r="F128" i="2"/>
  <c r="G127" i="2"/>
  <c r="F127" i="2"/>
  <c r="G126" i="2"/>
  <c r="F126" i="2"/>
  <c r="G125" i="2"/>
  <c r="F125" i="2"/>
  <c r="G124" i="2"/>
  <c r="F124" i="2"/>
  <c r="G123" i="2"/>
  <c r="F123" i="2"/>
  <c r="G122" i="2"/>
  <c r="F122" i="2"/>
  <c r="G121" i="2"/>
  <c r="F121" i="2"/>
  <c r="G120" i="2"/>
  <c r="F120" i="2"/>
  <c r="G119" i="2"/>
  <c r="F119" i="2"/>
  <c r="G118" i="2"/>
  <c r="F118" i="2"/>
  <c r="G117" i="2"/>
  <c r="F117" i="2"/>
  <c r="G116" i="2"/>
  <c r="F116" i="2"/>
  <c r="G115" i="2"/>
  <c r="F115" i="2"/>
  <c r="G114" i="2"/>
  <c r="F114" i="2"/>
  <c r="G113" i="2"/>
  <c r="F113" i="2"/>
  <c r="G112" i="2"/>
  <c r="F112" i="2"/>
  <c r="G111" i="2"/>
  <c r="F111" i="2"/>
  <c r="G110" i="2"/>
  <c r="F110" i="2"/>
  <c r="G109" i="2"/>
  <c r="F109" i="2"/>
  <c r="G108" i="2"/>
  <c r="F108" i="2"/>
  <c r="G107" i="2"/>
  <c r="F107" i="2"/>
  <c r="G106" i="2"/>
  <c r="F106" i="2"/>
  <c r="G105" i="2"/>
  <c r="F105" i="2"/>
  <c r="G104" i="2"/>
  <c r="F104" i="2"/>
  <c r="G103" i="2"/>
  <c r="F103" i="2"/>
  <c r="G102" i="2"/>
  <c r="F102" i="2"/>
  <c r="G101" i="2"/>
  <c r="F101" i="2"/>
  <c r="G100" i="2"/>
  <c r="F100" i="2"/>
  <c r="G99" i="2"/>
  <c r="F99" i="2"/>
  <c r="G98" i="2"/>
  <c r="F98" i="2"/>
  <c r="G97" i="2"/>
  <c r="F97" i="2"/>
  <c r="G96" i="2"/>
  <c r="F96" i="2"/>
  <c r="G95" i="2"/>
  <c r="F95" i="2"/>
  <c r="G94" i="2"/>
  <c r="F94" i="2"/>
  <c r="G93" i="2"/>
  <c r="F93" i="2"/>
  <c r="G92" i="2"/>
  <c r="F92" i="2"/>
  <c r="G91" i="2"/>
  <c r="F91" i="2"/>
  <c r="G90" i="2"/>
  <c r="F90" i="2"/>
  <c r="G89" i="2"/>
  <c r="F89" i="2"/>
  <c r="G88" i="2"/>
  <c r="F88" i="2"/>
  <c r="G87" i="2"/>
  <c r="F87" i="2"/>
  <c r="G86" i="2"/>
  <c r="F86" i="2"/>
  <c r="G85" i="2"/>
  <c r="F85" i="2"/>
  <c r="G84" i="2"/>
  <c r="F84" i="2"/>
  <c r="G83" i="2"/>
  <c r="F83" i="2"/>
  <c r="G82" i="2"/>
  <c r="F82" i="2"/>
  <c r="G81" i="2"/>
  <c r="F81" i="2"/>
  <c r="G80" i="2"/>
  <c r="F80" i="2"/>
  <c r="G79" i="2"/>
  <c r="F79" i="2"/>
  <c r="G78" i="2"/>
  <c r="F78" i="2"/>
  <c r="G77" i="2"/>
  <c r="F77" i="2"/>
  <c r="G76" i="2"/>
  <c r="F76" i="2"/>
  <c r="G75" i="2"/>
  <c r="F75" i="2"/>
  <c r="G74" i="2"/>
  <c r="F74" i="2"/>
  <c r="G73" i="2"/>
  <c r="F73" i="2"/>
  <c r="G72" i="2"/>
  <c r="F72" i="2"/>
  <c r="G71" i="2"/>
  <c r="F71" i="2"/>
  <c r="G70" i="2"/>
  <c r="F70" i="2"/>
  <c r="G69" i="2"/>
  <c r="F69" i="2"/>
  <c r="G68" i="2"/>
  <c r="F68" i="2"/>
  <c r="G67" i="2"/>
  <c r="F67" i="2"/>
  <c r="G66" i="2"/>
  <c r="F66" i="2"/>
  <c r="G65" i="2"/>
  <c r="F65" i="2"/>
  <c r="G64" i="2"/>
  <c r="F64" i="2"/>
  <c r="G63" i="2"/>
  <c r="F63" i="2"/>
  <c r="G62" i="2"/>
  <c r="F62" i="2"/>
  <c r="G61" i="2"/>
  <c r="F61" i="2"/>
  <c r="G60" i="2"/>
  <c r="F60" i="2"/>
  <c r="G59" i="2"/>
  <c r="F59" i="2"/>
  <c r="G58" i="2"/>
  <c r="F58" i="2"/>
  <c r="G57" i="2"/>
  <c r="F57" i="2"/>
  <c r="G56" i="2"/>
  <c r="F56" i="2"/>
  <c r="G55" i="2"/>
  <c r="F55" i="2"/>
  <c r="G54" i="2"/>
  <c r="F54" i="2"/>
  <c r="G53" i="2"/>
  <c r="F53" i="2"/>
  <c r="G52" i="2"/>
  <c r="F52" i="2"/>
  <c r="G51" i="2"/>
  <c r="F51" i="2"/>
  <c r="G50" i="2"/>
  <c r="F50" i="2"/>
  <c r="G49" i="2"/>
  <c r="F49" i="2"/>
  <c r="G48" i="2"/>
  <c r="F48" i="2"/>
  <c r="G47" i="2"/>
  <c r="F47" i="2"/>
  <c r="G46" i="2"/>
  <c r="F46" i="2"/>
  <c r="G45" i="2"/>
  <c r="F45" i="2"/>
  <c r="G44" i="2"/>
  <c r="F44" i="2"/>
  <c r="G43" i="2"/>
  <c r="F43" i="2"/>
  <c r="G42" i="2"/>
  <c r="F42" i="2"/>
  <c r="G41" i="2"/>
  <c r="F41" i="2"/>
  <c r="G40" i="2"/>
  <c r="F40" i="2"/>
  <c r="G39" i="2"/>
  <c r="F39" i="2"/>
  <c r="G38" i="2"/>
  <c r="F38" i="2"/>
  <c r="G37" i="2"/>
  <c r="F37" i="2"/>
  <c r="G36" i="2"/>
  <c r="F36" i="2"/>
  <c r="G35" i="2"/>
  <c r="F35" i="2"/>
  <c r="G34" i="2"/>
  <c r="F34" i="2"/>
  <c r="G33" i="2"/>
  <c r="F33" i="2"/>
  <c r="G32" i="2"/>
  <c r="F32" i="2"/>
  <c r="G31" i="2"/>
  <c r="F31" i="2"/>
  <c r="G30" i="2"/>
  <c r="F30" i="2"/>
  <c r="G29" i="2"/>
  <c r="F29" i="2"/>
  <c r="G28" i="2"/>
  <c r="F28" i="2"/>
  <c r="G27" i="2"/>
  <c r="F27" i="2"/>
  <c r="G26" i="2"/>
  <c r="F26" i="2"/>
  <c r="G25" i="2"/>
  <c r="F25" i="2"/>
  <c r="G24" i="2"/>
  <c r="F24" i="2"/>
  <c r="G23" i="2"/>
  <c r="F23" i="2"/>
  <c r="G22" i="2"/>
  <c r="F22" i="2"/>
  <c r="G21" i="2"/>
  <c r="F21" i="2"/>
  <c r="G20" i="2"/>
  <c r="F20" i="2"/>
  <c r="G19" i="2"/>
  <c r="F19" i="2"/>
  <c r="G18" i="2"/>
  <c r="F18" i="2"/>
  <c r="G17" i="2"/>
  <c r="F17" i="2"/>
  <c r="G16" i="2"/>
  <c r="F16" i="2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3" i="2"/>
  <c r="F3" i="2"/>
  <c r="G2" i="2"/>
  <c r="F2" i="2"/>
  <c r="I21" i="1"/>
  <c r="P5" i="7" l="1"/>
  <c r="P9" i="7"/>
  <c r="P6" i="7"/>
  <c r="P10" i="7"/>
  <c r="G4" i="3"/>
  <c r="J3" i="3" s="1"/>
  <c r="G7" i="3"/>
  <c r="J5" i="3" s="1"/>
  <c r="G11" i="3"/>
  <c r="J16" i="3" s="1"/>
  <c r="G15" i="3"/>
  <c r="J18" i="3" s="1"/>
  <c r="G19" i="3"/>
  <c r="J33" i="3" s="1"/>
  <c r="G23" i="3"/>
  <c r="J35" i="3" s="1"/>
  <c r="G27" i="3"/>
  <c r="J21" i="3" s="1"/>
  <c r="G31" i="3"/>
  <c r="J9" i="3" s="1"/>
  <c r="G35" i="3"/>
  <c r="J26" i="3" s="1"/>
  <c r="G39" i="3"/>
  <c r="J40" i="3" s="1"/>
  <c r="G8" i="3"/>
  <c r="J14" i="3" s="1"/>
  <c r="G12" i="3"/>
  <c r="J30" i="3" s="1"/>
  <c r="G16" i="3"/>
  <c r="J31" i="3" s="1"/>
  <c r="G20" i="3"/>
  <c r="J8" i="3" s="1"/>
  <c r="G24" i="3"/>
  <c r="J36" i="3" s="1"/>
  <c r="G28" i="3"/>
  <c r="J22" i="3" s="1"/>
  <c r="G32" i="3"/>
  <c r="J39" i="3" s="1"/>
  <c r="G36" i="3"/>
  <c r="J27" i="3" s="1"/>
  <c r="G40" i="3"/>
  <c r="J28" i="3" s="1"/>
  <c r="G3" i="3"/>
  <c r="J12" i="3" s="1"/>
  <c r="G5" i="3"/>
  <c r="J13" i="3" s="1"/>
  <c r="G9" i="3"/>
  <c r="J15" i="3" s="1"/>
  <c r="G13" i="3"/>
  <c r="J17" i="3" s="1"/>
  <c r="G17" i="3"/>
  <c r="J7" i="3" s="1"/>
  <c r="G21" i="3"/>
  <c r="J19" i="3" s="1"/>
  <c r="G25" i="3"/>
  <c r="J37" i="3" s="1"/>
  <c r="G29" i="3"/>
  <c r="J23" i="3" s="1"/>
  <c r="G33" i="3"/>
  <c r="J24" i="3" s="1"/>
  <c r="G37" i="3"/>
  <c r="J10" i="3" s="1"/>
  <c r="G6" i="3"/>
  <c r="J4" i="3" s="1"/>
  <c r="G10" i="3"/>
  <c r="J29" i="3" s="1"/>
  <c r="G14" i="3"/>
  <c r="J6" i="3" s="1"/>
  <c r="G18" i="3"/>
  <c r="J32" i="3" s="1"/>
  <c r="G22" i="3"/>
  <c r="J34" i="3" s="1"/>
  <c r="G26" i="3"/>
  <c r="J20" i="3" s="1"/>
  <c r="G30" i="3"/>
  <c r="J38" i="3" s="1"/>
  <c r="G34" i="3"/>
  <c r="J25" i="3" s="1"/>
  <c r="AH1" i="7"/>
  <c r="W7" i="7"/>
  <c r="AQ3" i="7"/>
  <c r="AQ5" i="7" s="1"/>
  <c r="W8" i="7"/>
  <c r="W5" i="7"/>
  <c r="AA5" i="7"/>
  <c r="AA3" i="7" s="1"/>
  <c r="W9" i="7"/>
  <c r="W6" i="7"/>
  <c r="AA29" i="7" l="1"/>
  <c r="AC29" i="7" s="1"/>
  <c r="AA23" i="7"/>
  <c r="AB23" i="7" s="1"/>
  <c r="AA9" i="7"/>
  <c r="AC9" i="7" s="1"/>
  <c r="AA10" i="7"/>
  <c r="AC10" i="7" s="1"/>
  <c r="AA12" i="7"/>
  <c r="AC12" i="7" s="1"/>
  <c r="AA22" i="7"/>
  <c r="AC22" i="7" s="1"/>
  <c r="AA30" i="7"/>
  <c r="AC30" i="7" s="1"/>
  <c r="AA32" i="7"/>
  <c r="AC32" i="7" s="1"/>
  <c r="AA17" i="7"/>
  <c r="AC17" i="7" s="1"/>
  <c r="AC5" i="7"/>
  <c r="AA21" i="7"/>
  <c r="AC21" i="7" s="1"/>
  <c r="AB5" i="7"/>
  <c r="AA28" i="7"/>
  <c r="AC28" i="7" s="1"/>
  <c r="AA19" i="7"/>
  <c r="AA8" i="7"/>
  <c r="AB8" i="7" s="1"/>
  <c r="AA14" i="7"/>
  <c r="AC14" i="7" s="1"/>
  <c r="AA34" i="7"/>
  <c r="AA25" i="7"/>
  <c r="AA16" i="7"/>
  <c r="AA7" i="7"/>
  <c r="AC7" i="7" s="1"/>
  <c r="AA31" i="7"/>
  <c r="AB31" i="7" s="1"/>
  <c r="AA18" i="7"/>
  <c r="AB18" i="7" s="1"/>
  <c r="AA6" i="7"/>
  <c r="AA33" i="7"/>
  <c r="AC33" i="7" s="1"/>
  <c r="AA20" i="7"/>
  <c r="AA15" i="7"/>
  <c r="AB15" i="7" s="1"/>
  <c r="AA35" i="7"/>
  <c r="AA24" i="7"/>
  <c r="AA11" i="7"/>
  <c r="AA27" i="7"/>
  <c r="AA26" i="7"/>
  <c r="AC26" i="7" s="1"/>
  <c r="AA13" i="7"/>
  <c r="AB9" i="7" l="1"/>
  <c r="AB29" i="7"/>
  <c r="AC23" i="7"/>
  <c r="AB7" i="7"/>
  <c r="AC31" i="7"/>
  <c r="AB12" i="7"/>
  <c r="AB30" i="7"/>
  <c r="AC8" i="7"/>
  <c r="AB22" i="7"/>
  <c r="AC15" i="7"/>
  <c r="AC18" i="7"/>
  <c r="AB17" i="7"/>
  <c r="AB10" i="7"/>
  <c r="AB32" i="7"/>
  <c r="AB28" i="7"/>
  <c r="AB21" i="7"/>
  <c r="AC19" i="7"/>
  <c r="AB19" i="7"/>
  <c r="AC35" i="7"/>
  <c r="AB35" i="7"/>
  <c r="AB14" i="7"/>
  <c r="AB33" i="7"/>
  <c r="AC20" i="7"/>
  <c r="AB20" i="7"/>
  <c r="AC16" i="7"/>
  <c r="AB16" i="7"/>
  <c r="AC25" i="7"/>
  <c r="AB25" i="7"/>
  <c r="AC6" i="7"/>
  <c r="AB6" i="7"/>
  <c r="AB26" i="7"/>
  <c r="AC34" i="7"/>
  <c r="AB34" i="7"/>
  <c r="AB11" i="7"/>
  <c r="AC11" i="7"/>
  <c r="AC13" i="7"/>
  <c r="AB13" i="7"/>
  <c r="AC24" i="7"/>
  <c r="AB24" i="7"/>
  <c r="AC27" i="7"/>
  <c r="AB27" i="7"/>
  <c r="P8" i="7"/>
  <c r="Q4" i="7"/>
  <c r="P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Lealdo Santana</author>
  </authors>
  <commentList>
    <comment ref="J1" authorId="0" shapeId="0" xr:uid="{1575C086-868E-4BB2-B6C8-96410D971A6C}">
      <text>
        <r>
          <rPr>
            <b/>
            <sz val="9"/>
            <color indexed="81"/>
            <rFont val="Segoe UI"/>
            <family val="2"/>
          </rPr>
          <t>Lealdo Santana:</t>
        </r>
        <r>
          <rPr>
            <sz val="9"/>
            <color indexed="81"/>
            <rFont val="Segoe UI"/>
            <family val="2"/>
          </rPr>
          <t xml:space="preserve">
Validação</t>
        </r>
      </text>
    </comment>
  </commentList>
</comments>
</file>

<file path=xl/sharedStrings.xml><?xml version="1.0" encoding="utf-8"?>
<sst xmlns="http://schemas.openxmlformats.org/spreadsheetml/2006/main" count="5471" uniqueCount="77">
  <si>
    <t>Nome</t>
  </si>
  <si>
    <t>Data</t>
  </si>
  <si>
    <t>Tratativa</t>
  </si>
  <si>
    <t>OS GRÁFICOS DEMAIS INFORMAÇÕES PARA A CONSTRUÇÃO DO PAINEL, DEVEM ESTAR SINALIZADAS DENTRO DESSE QUADRO CINZA</t>
  </si>
  <si>
    <t>DEOP</t>
  </si>
  <si>
    <t>DCMD</t>
  </si>
  <si>
    <t>DESC</t>
  </si>
  <si>
    <t>LEMOS</t>
  </si>
  <si>
    <t>SANTOS</t>
  </si>
  <si>
    <t>ANJOS</t>
  </si>
  <si>
    <t>DANTAS</t>
  </si>
  <si>
    <t>ALVES</t>
  </si>
  <si>
    <t>ROCHA</t>
  </si>
  <si>
    <t>JESUS</t>
  </si>
  <si>
    <t>OLIVEIRA</t>
  </si>
  <si>
    <t>ANDRADE</t>
  </si>
  <si>
    <t>SILVA</t>
  </si>
  <si>
    <t>RIOS</t>
  </si>
  <si>
    <t>BRITO</t>
  </si>
  <si>
    <t>BARROS</t>
  </si>
  <si>
    <t>JUNIOR</t>
  </si>
  <si>
    <t>MENEZES</t>
  </si>
  <si>
    <t>FEITOSA</t>
  </si>
  <si>
    <t>ROLLEMBERG</t>
  </si>
  <si>
    <t>ARNALDO</t>
  </si>
  <si>
    <t>JORGE</t>
  </si>
  <si>
    <t>VALTRAN</t>
  </si>
  <si>
    <t>LOBAO</t>
  </si>
  <si>
    <t>ANTONIO</t>
  </si>
  <si>
    <t>AILTON</t>
  </si>
  <si>
    <t>EVILASIA</t>
  </si>
  <si>
    <t>RICARDO</t>
  </si>
  <si>
    <t>LUIZ</t>
  </si>
  <si>
    <t>COSTA</t>
  </si>
  <si>
    <t>GILTON</t>
  </si>
  <si>
    <t>WALDECK</t>
  </si>
  <si>
    <t>ELIAS</t>
  </si>
  <si>
    <t>JOSE</t>
  </si>
  <si>
    <t>LOURIVAL</t>
  </si>
  <si>
    <t>LEONIDO</t>
  </si>
  <si>
    <t>DICKSON</t>
  </si>
  <si>
    <t>VAMIR</t>
  </si>
  <si>
    <t>EDNALDO</t>
  </si>
  <si>
    <t>JAILTON</t>
  </si>
  <si>
    <t>CONCEIÇÃO</t>
  </si>
  <si>
    <t>Departamento</t>
  </si>
  <si>
    <t>Não realizada</t>
  </si>
  <si>
    <t>Realizada</t>
  </si>
  <si>
    <t>Hora Extra</t>
  </si>
  <si>
    <t>Questão 1</t>
  </si>
  <si>
    <t>Qtd</t>
  </si>
  <si>
    <t>Soma de Hora Extra</t>
  </si>
  <si>
    <t>Questão 2</t>
  </si>
  <si>
    <t>Questão 3</t>
  </si>
  <si>
    <t>SELECIONE DEPARTAMENTO -&gt;</t>
  </si>
  <si>
    <t>Dia</t>
  </si>
  <si>
    <t>Dia Semana</t>
  </si>
  <si>
    <t>Quinta-Feira</t>
  </si>
  <si>
    <t>Segunda-Feira</t>
  </si>
  <si>
    <t>Terça-Feira</t>
  </si>
  <si>
    <t>Quarta-Feira</t>
  </si>
  <si>
    <t>Sexta-Feira</t>
  </si>
  <si>
    <t>Total Hora Extra</t>
  </si>
  <si>
    <t>Dias da Semana</t>
  </si>
  <si>
    <t>Fim de Semana</t>
  </si>
  <si>
    <t>Dias do mês</t>
  </si>
  <si>
    <t>Hrs</t>
  </si>
  <si>
    <t>(Tudo)</t>
  </si>
  <si>
    <t>MENU</t>
  </si>
  <si>
    <t>MÉDIA</t>
  </si>
  <si>
    <t>Acima</t>
  </si>
  <si>
    <t>Abaixo</t>
  </si>
  <si>
    <t>Total Funcionários</t>
  </si>
  <si>
    <t>Total Tratativas</t>
  </si>
  <si>
    <t>MAIORES</t>
  </si>
  <si>
    <t>MENORES</t>
  </si>
  <si>
    <t>Contagem de Tratativa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</si>
</sst>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92D050"/>
      <name val="Calibri"/>
      <family val="2"/>
      <scheme val="minor"/>
    </font>
    <font>
      <b/>
      <sz val="18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4"/>
      <color theme="0"/>
      <name val="Calibri (Corpo)"/>
    </font>
    <font>
      <b/>
      <i/>
      <sz val="12"/>
      <color rgb="FF92D05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030A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4" fillId="0" borderId="0" applyNumberFormat="0" applyFill="0" applyBorder="0" applyAlignment="0" applyProtection="0"/>
    <xf numFmtId="0" fontId="5" fillId="0" borderId="9" applyNumberFormat="0" applyFill="0" applyAlignment="0" applyProtection="0"/>
    <xf numFmtId="0" fontId="6" fillId="0" borderId="10" applyNumberFormat="0" applyFill="0" applyAlignment="0" applyProtection="0"/>
    <xf numFmtId="0" fontId="7" fillId="0" borderId="11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12" applyNumberFormat="0" applyAlignment="0" applyProtection="0"/>
    <xf numFmtId="0" fontId="12" fillId="6" borderId="13" applyNumberFormat="0" applyAlignment="0" applyProtection="0"/>
    <xf numFmtId="0" fontId="13" fillId="6" borderId="12" applyNumberFormat="0" applyAlignment="0" applyProtection="0"/>
    <xf numFmtId="0" fontId="14" fillId="0" borderId="14" applyNumberFormat="0" applyFill="0" applyAlignment="0" applyProtection="0"/>
    <xf numFmtId="0" fontId="1" fillId="7" borderId="15" applyNumberFormat="0" applyAlignment="0" applyProtection="0"/>
    <xf numFmtId="0" fontId="15" fillId="0" borderId="0" applyNumberFormat="0" applyFill="0" applyBorder="0" applyAlignment="0" applyProtection="0"/>
    <xf numFmtId="0" fontId="3" fillId="8" borderId="16" applyNumberFormat="0" applyFont="0" applyAlignment="0" applyProtection="0"/>
    <xf numFmtId="0" fontId="16" fillId="0" borderId="0" applyNumberFormat="0" applyFill="0" applyBorder="0" applyAlignment="0" applyProtection="0"/>
    <xf numFmtId="0" fontId="2" fillId="0" borderId="17" applyNumberFormat="0" applyFill="0" applyAlignment="0" applyProtection="0"/>
    <xf numFmtId="0" fontId="17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7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7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7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7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7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9" fontId="3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center"/>
    </xf>
    <xf numFmtId="0" fontId="0" fillId="33" borderId="1" xfId="0" applyFill="1" applyBorder="1"/>
    <xf numFmtId="0" fontId="0" fillId="33" borderId="2" xfId="0" applyFill="1" applyBorder="1"/>
    <xf numFmtId="0" fontId="0" fillId="33" borderId="3" xfId="0" applyFill="1" applyBorder="1"/>
    <xf numFmtId="0" fontId="0" fillId="33" borderId="4" xfId="0" applyFill="1" applyBorder="1"/>
    <xf numFmtId="0" fontId="0" fillId="33" borderId="0" xfId="0" applyFill="1"/>
    <xf numFmtId="0" fontId="0" fillId="33" borderId="5" xfId="0" applyFill="1" applyBorder="1"/>
    <xf numFmtId="0" fontId="0" fillId="33" borderId="6" xfId="0" applyFill="1" applyBorder="1"/>
    <xf numFmtId="0" fontId="0" fillId="33" borderId="7" xfId="0" applyFill="1" applyBorder="1"/>
    <xf numFmtId="0" fontId="0" fillId="33" borderId="8" xfId="0" applyFill="1" applyBorder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left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2" fillId="0" borderId="0" xfId="0" applyFont="1"/>
    <xf numFmtId="0" fontId="0" fillId="0" borderId="0" xfId="0" pivotButton="1"/>
    <xf numFmtId="0" fontId="2" fillId="34" borderId="0" xfId="0" applyFont="1" applyFill="1" applyAlignment="1">
      <alignment horizontal="center" vertical="center"/>
    </xf>
    <xf numFmtId="0" fontId="22" fillId="33" borderId="0" xfId="0" applyFont="1" applyFill="1"/>
    <xf numFmtId="0" fontId="0" fillId="34" borderId="0" xfId="0" applyFill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37" borderId="0" xfId="0" applyFill="1"/>
    <xf numFmtId="0" fontId="26" fillId="37" borderId="0" xfId="0" applyFont="1" applyFill="1"/>
    <xf numFmtId="0" fontId="0" fillId="38" borderId="0" xfId="0" applyFill="1"/>
    <xf numFmtId="0" fontId="0" fillId="0" borderId="2" xfId="0" applyBorder="1"/>
    <xf numFmtId="0" fontId="0" fillId="0" borderId="7" xfId="0" applyBorder="1"/>
    <xf numFmtId="0" fontId="17" fillId="0" borderId="0" xfId="0" applyFont="1"/>
    <xf numFmtId="2" fontId="17" fillId="0" borderId="0" xfId="0" applyNumberFormat="1" applyFont="1"/>
    <xf numFmtId="2" fontId="0" fillId="0" borderId="3" xfId="0" applyNumberFormat="1" applyBorder="1"/>
    <xf numFmtId="2" fontId="0" fillId="0" borderId="5" xfId="0" applyNumberFormat="1" applyBorder="1"/>
    <xf numFmtId="2" fontId="0" fillId="0" borderId="8" xfId="0" applyNumberFormat="1" applyBorder="1"/>
    <xf numFmtId="2" fontId="17" fillId="33" borderId="0" xfId="0" applyNumberFormat="1" applyFont="1" applyFill="1"/>
    <xf numFmtId="1" fontId="0" fillId="0" borderId="0" xfId="0" applyNumberFormat="1"/>
    <xf numFmtId="1" fontId="0" fillId="0" borderId="7" xfId="0" applyNumberFormat="1" applyBorder="1"/>
    <xf numFmtId="0" fontId="27" fillId="37" borderId="0" xfId="0" applyFont="1" applyFill="1" applyAlignment="1">
      <alignment horizontal="center" vertical="center" wrapText="1"/>
    </xf>
    <xf numFmtId="0" fontId="2" fillId="37" borderId="0" xfId="0" applyFont="1" applyFill="1"/>
    <xf numFmtId="0" fontId="2" fillId="0" borderId="7" xfId="0" applyFont="1" applyBorder="1" applyAlignment="1">
      <alignment horizontal="center"/>
    </xf>
    <xf numFmtId="0" fontId="21" fillId="36" borderId="0" xfId="0" applyFont="1" applyFill="1" applyAlignment="1">
      <alignment horizontal="center" vertical="center"/>
    </xf>
    <xf numFmtId="0" fontId="20" fillId="35" borderId="0" xfId="0" applyFont="1" applyFill="1" applyAlignment="1">
      <alignment horizontal="center" vertical="center"/>
    </xf>
    <xf numFmtId="9" fontId="28" fillId="38" borderId="0" xfId="42" applyFont="1" applyFill="1" applyBorder="1" applyAlignment="1">
      <alignment horizontal="center" vertical="center"/>
    </xf>
    <xf numFmtId="0" fontId="29" fillId="37" borderId="0" xfId="0" applyFont="1" applyFill="1" applyAlignment="1">
      <alignment horizontal="center"/>
    </xf>
    <xf numFmtId="0" fontId="25" fillId="37" borderId="0" xfId="0" applyFont="1" applyFill="1" applyAlignment="1">
      <alignment horizontal="center" vertical="center"/>
    </xf>
    <xf numFmtId="0" fontId="27" fillId="37" borderId="0" xfId="0" applyFont="1" applyFill="1" applyAlignment="1">
      <alignment horizontal="center" vertical="center" wrapText="1"/>
    </xf>
    <xf numFmtId="0" fontId="24" fillId="38" borderId="0" xfId="0" applyFont="1" applyFill="1" applyAlignment="1">
      <alignment horizontal="center" vertical="center"/>
    </xf>
    <xf numFmtId="0" fontId="0" fillId="39" borderId="0" xfId="0" applyFill="1"/>
    <xf numFmtId="0" fontId="0" fillId="0" borderId="0" xfId="0" applyNumberFormat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Porcentagem" xfId="42" builtinId="5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3"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fill>
        <patternFill>
          <bgColor theme="1" tint="0.24994659260841701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theme="0"/>
      </font>
      <border>
        <bottom style="thin">
          <color theme="9"/>
        </bottom>
        <vertical/>
        <horizontal/>
      </border>
    </dxf>
    <dxf>
      <font>
        <color theme="1"/>
      </font>
      <fill>
        <patternFill>
          <bgColor theme="1" tint="0.14996795556505021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</dxfs>
  <tableStyles count="1" defaultTableStyle="TableStyleMedium2" defaultPivotStyle="PivotStyleLight16">
    <tableStyle name="SlicerStyleDark6 2" pivot="0" table="0" count="10" xr9:uid="{2A62CF4C-AEA3-4E43-9914-56C48A8524D2}">
      <tableStyleElement type="wholeTable" dxfId="12"/>
      <tableStyleElement type="headerRow" dxfId="11"/>
    </tableStyle>
  </tableStyles>
  <colors>
    <mruColors>
      <color rgb="FF00FF00"/>
      <color rgb="FFFF505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tratativas</a:t>
            </a:r>
            <a:r>
              <a:rPr lang="pt-BR" baseline="0"/>
              <a:t> por departamento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'Aba auxiliar'!$C$2</c:f>
              <c:strCache>
                <c:ptCount val="1"/>
                <c:pt idx="0">
                  <c:v>Realizada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'Aba auxiliar'!$B$3:$B$5</c:f>
              <c:strCache>
                <c:ptCount val="3"/>
                <c:pt idx="0">
                  <c:v>DCMD</c:v>
                </c:pt>
                <c:pt idx="1">
                  <c:v>DESC</c:v>
                </c:pt>
                <c:pt idx="2">
                  <c:v>DEOP</c:v>
                </c:pt>
              </c:strCache>
            </c:strRef>
          </c:cat>
          <c:val>
            <c:numRef>
              <c:f>'Aba auxiliar'!$C$3:$C$5</c:f>
              <c:numCache>
                <c:formatCode>General</c:formatCode>
                <c:ptCount val="3"/>
                <c:pt idx="0">
                  <c:v>154</c:v>
                </c:pt>
                <c:pt idx="1">
                  <c:v>423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DC-424E-988E-E743EFC4FECF}"/>
            </c:ext>
          </c:extLst>
        </c:ser>
        <c:ser>
          <c:idx val="1"/>
          <c:order val="1"/>
          <c:tx>
            <c:strRef>
              <c:f>'Aba auxiliar'!$D$2</c:f>
              <c:strCache>
                <c:ptCount val="1"/>
                <c:pt idx="0">
                  <c:v>Não realizada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'Aba auxiliar'!$B$3:$B$5</c:f>
              <c:strCache>
                <c:ptCount val="3"/>
                <c:pt idx="0">
                  <c:v>DCMD</c:v>
                </c:pt>
                <c:pt idx="1">
                  <c:v>DESC</c:v>
                </c:pt>
                <c:pt idx="2">
                  <c:v>DEOP</c:v>
                </c:pt>
              </c:strCache>
            </c:strRef>
          </c:cat>
          <c:val>
            <c:numRef>
              <c:f>'Aba auxiliar'!$D$3:$D$5</c:f>
              <c:numCache>
                <c:formatCode>General</c:formatCode>
                <c:ptCount val="3"/>
                <c:pt idx="0">
                  <c:v>147</c:v>
                </c:pt>
                <c:pt idx="1">
                  <c:v>133</c:v>
                </c:pt>
                <c:pt idx="2">
                  <c:v>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DC-424E-988E-E743EFC4FEC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517158544"/>
        <c:axId val="517158960"/>
      </c:barChart>
      <c:catAx>
        <c:axId val="51715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158960"/>
        <c:crosses val="autoZero"/>
        <c:auto val="1"/>
        <c:lblAlgn val="ctr"/>
        <c:lblOffset val="100"/>
        <c:noMultiLvlLbl val="0"/>
      </c:catAx>
      <c:valAx>
        <c:axId val="5171589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1715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0680386344741731"/>
          <c:y val="0.11039707755828768"/>
          <c:w val="0.16923309959389404"/>
          <c:h val="7.52267808629184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Painel!$I$21</c:f>
          <c:strCache>
            <c:ptCount val="1"/>
            <c:pt idx="0">
              <c:v>TOP 10 COLABORADORES COM MAIOR QUANTIDADE DE HORA EXTRA | DEPARTAMENTO: DCMD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'Aba auxiliar'!$I$3:$I$12</c:f>
              <c:strCache>
                <c:ptCount val="10"/>
                <c:pt idx="0">
                  <c:v>SILVA</c:v>
                </c:pt>
                <c:pt idx="1">
                  <c:v>OLIVEIRA</c:v>
                </c:pt>
                <c:pt idx="2">
                  <c:v>SANTOS</c:v>
                </c:pt>
                <c:pt idx="3">
                  <c:v>FEITOSA</c:v>
                </c:pt>
                <c:pt idx="4">
                  <c:v>GILTON</c:v>
                </c:pt>
                <c:pt idx="5">
                  <c:v>LEMOS</c:v>
                </c:pt>
                <c:pt idx="6">
                  <c:v>MENEZES</c:v>
                </c:pt>
                <c:pt idx="7">
                  <c:v>DANTAS</c:v>
                </c:pt>
                <c:pt idx="8">
                  <c:v>WALDECK</c:v>
                </c:pt>
                <c:pt idx="9">
                  <c:v>ANJOS</c:v>
                </c:pt>
              </c:strCache>
            </c:strRef>
          </c:cat>
          <c:val>
            <c:numRef>
              <c:f>'Aba auxiliar'!$J$3:$J$12</c:f>
              <c:numCache>
                <c:formatCode>General</c:formatCode>
                <c:ptCount val="10"/>
                <c:pt idx="0">
                  <c:v>81</c:v>
                </c:pt>
                <c:pt idx="1">
                  <c:v>77</c:v>
                </c:pt>
                <c:pt idx="2">
                  <c:v>77</c:v>
                </c:pt>
                <c:pt idx="3">
                  <c:v>62</c:v>
                </c:pt>
                <c:pt idx="4">
                  <c:v>56</c:v>
                </c:pt>
                <c:pt idx="5">
                  <c:v>48</c:v>
                </c:pt>
                <c:pt idx="6">
                  <c:v>30</c:v>
                </c:pt>
                <c:pt idx="7">
                  <c:v>27</c:v>
                </c:pt>
                <c:pt idx="8">
                  <c:v>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2A-49A3-8CBB-FD27135A39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518474768"/>
        <c:axId val="518475600"/>
      </c:barChart>
      <c:catAx>
        <c:axId val="51847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8475600"/>
        <c:crosses val="autoZero"/>
        <c:auto val="1"/>
        <c:lblAlgn val="ctr"/>
        <c:lblOffset val="100"/>
        <c:noMultiLvlLbl val="0"/>
      </c:catAx>
      <c:valAx>
        <c:axId val="5184756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1847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>
                <a:latin typeface="+mn-lt"/>
              </a:rPr>
              <a:t>Acompanhamento Diário</a:t>
            </a:r>
          </a:p>
        </c:rich>
      </c:tx>
      <c:layout>
        <c:manualLayout>
          <c:xMode val="edge"/>
          <c:yMode val="edge"/>
          <c:x val="0.37942406954154051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3464755634551605E-2"/>
          <c:y val="0.27451388888888889"/>
          <c:w val="0.96240249963282076"/>
          <c:h val="0.55151629483814524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'Bônus - Dashboard'!$AB$4</c:f>
              <c:strCache>
                <c:ptCount val="1"/>
                <c:pt idx="0">
                  <c:v>Acima</c:v>
                </c:pt>
              </c:strCache>
            </c:strRef>
          </c:tx>
          <c:spPr>
            <a:noFill/>
            <a:ln w="57150" cap="flat" cmpd="sng" algn="ctr">
              <a:solidFill>
                <a:srgbClr val="FF5050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'Bônus - Dashboard'!$AB$5:$AB$35</c:f>
              <c:numCache>
                <c:formatCode>General</c:formatCode>
                <c:ptCount val="31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73</c:v>
                </c:pt>
                <c:pt idx="5">
                  <c:v>71</c:v>
                </c:pt>
                <c:pt idx="6">
                  <c:v>77</c:v>
                </c:pt>
                <c:pt idx="7">
                  <c:v>83</c:v>
                </c:pt>
                <c:pt idx="8">
                  <c:v>77</c:v>
                </c:pt>
                <c:pt idx="9">
                  <c:v>0</c:v>
                </c:pt>
                <c:pt idx="10">
                  <c:v>0</c:v>
                </c:pt>
                <c:pt idx="11">
                  <c:v>73</c:v>
                </c:pt>
                <c:pt idx="12">
                  <c:v>75</c:v>
                </c:pt>
                <c:pt idx="13">
                  <c:v>76</c:v>
                </c:pt>
                <c:pt idx="14">
                  <c:v>80</c:v>
                </c:pt>
                <c:pt idx="15">
                  <c:v>82</c:v>
                </c:pt>
                <c:pt idx="16">
                  <c:v>0</c:v>
                </c:pt>
                <c:pt idx="17">
                  <c:v>0</c:v>
                </c:pt>
                <c:pt idx="18">
                  <c:v>73</c:v>
                </c:pt>
                <c:pt idx="19">
                  <c:v>73</c:v>
                </c:pt>
                <c:pt idx="20">
                  <c:v>0</c:v>
                </c:pt>
                <c:pt idx="21">
                  <c:v>68</c:v>
                </c:pt>
                <c:pt idx="22">
                  <c:v>73</c:v>
                </c:pt>
                <c:pt idx="23">
                  <c:v>0</c:v>
                </c:pt>
                <c:pt idx="24">
                  <c:v>0</c:v>
                </c:pt>
                <c:pt idx="25">
                  <c:v>70</c:v>
                </c:pt>
                <c:pt idx="26">
                  <c:v>87</c:v>
                </c:pt>
                <c:pt idx="27">
                  <c:v>81</c:v>
                </c:pt>
                <c:pt idx="28">
                  <c:v>61</c:v>
                </c:pt>
                <c:pt idx="29">
                  <c:v>121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45-4A53-9E7A-5A0DD56CFFAB}"/>
            </c:ext>
          </c:extLst>
        </c:ser>
        <c:ser>
          <c:idx val="2"/>
          <c:order val="2"/>
          <c:tx>
            <c:strRef>
              <c:f>'Bônus - Dashboard'!$AC$4</c:f>
              <c:strCache>
                <c:ptCount val="1"/>
                <c:pt idx="0">
                  <c:v>Abaixo</c:v>
                </c:pt>
              </c:strCache>
            </c:strRef>
          </c:tx>
          <c:spPr>
            <a:noFill/>
            <a:ln w="38100" cap="flat" cmpd="sng" algn="ctr">
              <a:solidFill>
                <a:srgbClr val="92D050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'Bônus - Dashboard'!$AC$5:$AC$35</c:f>
              <c:numCache>
                <c:formatCode>General</c:formatCode>
                <c:ptCount val="31"/>
                <c:pt idx="0">
                  <c:v>0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</c:v>
                </c:pt>
                <c:pt idx="10">
                  <c:v>16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9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10</c:v>
                </c:pt>
                <c:pt idx="24">
                  <c:v>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45-4A53-9E7A-5A0DD56CF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61860592"/>
        <c:axId val="761876400"/>
      </c:barChart>
      <c:lineChart>
        <c:grouping val="standard"/>
        <c:varyColors val="0"/>
        <c:ser>
          <c:idx val="1"/>
          <c:order val="0"/>
          <c:tx>
            <c:v>Média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'Bônus - Dashboard'!$AA$5:$AA$35</c:f>
              <c:numCache>
                <c:formatCode>0</c:formatCode>
                <c:ptCount val="31"/>
                <c:pt idx="0">
                  <c:v>53.41935483870968</c:v>
                </c:pt>
                <c:pt idx="1">
                  <c:v>53.41935483870968</c:v>
                </c:pt>
                <c:pt idx="2">
                  <c:v>53.41935483870968</c:v>
                </c:pt>
                <c:pt idx="3">
                  <c:v>53.41935483870968</c:v>
                </c:pt>
                <c:pt idx="4">
                  <c:v>53.41935483870968</c:v>
                </c:pt>
                <c:pt idx="5">
                  <c:v>53.41935483870968</c:v>
                </c:pt>
                <c:pt idx="6">
                  <c:v>53.41935483870968</c:v>
                </c:pt>
                <c:pt idx="7">
                  <c:v>53.41935483870968</c:v>
                </c:pt>
                <c:pt idx="8">
                  <c:v>53.41935483870968</c:v>
                </c:pt>
                <c:pt idx="9">
                  <c:v>53.41935483870968</c:v>
                </c:pt>
                <c:pt idx="10">
                  <c:v>53.41935483870968</c:v>
                </c:pt>
                <c:pt idx="11">
                  <c:v>53.41935483870968</c:v>
                </c:pt>
                <c:pt idx="12">
                  <c:v>53.41935483870968</c:v>
                </c:pt>
                <c:pt idx="13">
                  <c:v>53.41935483870968</c:v>
                </c:pt>
                <c:pt idx="14">
                  <c:v>53.41935483870968</c:v>
                </c:pt>
                <c:pt idx="15">
                  <c:v>53.41935483870968</c:v>
                </c:pt>
                <c:pt idx="16">
                  <c:v>53.41935483870968</c:v>
                </c:pt>
                <c:pt idx="17">
                  <c:v>53.41935483870968</c:v>
                </c:pt>
                <c:pt idx="18">
                  <c:v>53.41935483870968</c:v>
                </c:pt>
                <c:pt idx="19">
                  <c:v>53.41935483870968</c:v>
                </c:pt>
                <c:pt idx="20">
                  <c:v>53.41935483870968</c:v>
                </c:pt>
                <c:pt idx="21">
                  <c:v>53.41935483870968</c:v>
                </c:pt>
                <c:pt idx="22">
                  <c:v>53.41935483870968</c:v>
                </c:pt>
                <c:pt idx="23">
                  <c:v>53.41935483870968</c:v>
                </c:pt>
                <c:pt idx="24">
                  <c:v>53.41935483870968</c:v>
                </c:pt>
                <c:pt idx="25">
                  <c:v>53.41935483870968</c:v>
                </c:pt>
                <c:pt idx="26">
                  <c:v>53.41935483870968</c:v>
                </c:pt>
                <c:pt idx="27">
                  <c:v>53.41935483870968</c:v>
                </c:pt>
                <c:pt idx="28">
                  <c:v>53.41935483870968</c:v>
                </c:pt>
                <c:pt idx="29">
                  <c:v>53.41935483870968</c:v>
                </c:pt>
                <c:pt idx="30">
                  <c:v>53.41935483870968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2B-4E6A-ABA8-E9EF4C015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860592"/>
        <c:axId val="761876400"/>
      </c:lineChart>
      <c:catAx>
        <c:axId val="7618605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1876400"/>
        <c:crosses val="autoZero"/>
        <c:auto val="1"/>
        <c:lblAlgn val="ctr"/>
        <c:lblOffset val="100"/>
        <c:noMultiLvlLbl val="0"/>
      </c:catAx>
      <c:valAx>
        <c:axId val="761876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186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7457587505177892"/>
          <c:y val="0.14550196850393701"/>
          <c:w val="0.25125313641388614"/>
          <c:h val="0.11545384951881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latin typeface="+mn-lt"/>
              </a:rPr>
              <a:t>Hora</a:t>
            </a:r>
            <a:r>
              <a:rPr lang="pt-BR" baseline="0">
                <a:latin typeface="+mn-lt"/>
              </a:rPr>
              <a:t> Extra</a:t>
            </a:r>
            <a:r>
              <a:rPr lang="pt-BR">
                <a:latin typeface="+mn-lt"/>
              </a:rPr>
              <a:t> Por Dia de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0" scaled="1"/>
              <a:tileRect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'Bônus - Dashboard'!$V$5:$V$10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Fim de Semana</c:v>
                </c:pt>
              </c:strCache>
            </c:strRef>
          </c:cat>
          <c:val>
            <c:numRef>
              <c:f>'Bônus - Dashboard'!$W$5:$W$10</c:f>
              <c:numCache>
                <c:formatCode>General</c:formatCode>
                <c:ptCount val="6"/>
                <c:pt idx="0">
                  <c:v>289</c:v>
                </c:pt>
                <c:pt idx="1">
                  <c:v>306</c:v>
                </c:pt>
                <c:pt idx="2">
                  <c:v>246</c:v>
                </c:pt>
                <c:pt idx="3">
                  <c:v>362</c:v>
                </c:pt>
                <c:pt idx="4">
                  <c:v>357</c:v>
                </c:pt>
                <c:pt idx="5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4A-4B88-86FC-49B973787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797169872"/>
        <c:axId val="797157392"/>
      </c:barChart>
      <c:catAx>
        <c:axId val="7971698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7157392"/>
        <c:crosses val="autoZero"/>
        <c:auto val="1"/>
        <c:lblAlgn val="ctr"/>
        <c:lblOffset val="100"/>
        <c:noMultiLvlLbl val="0"/>
      </c:catAx>
      <c:valAx>
        <c:axId val="7971573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716987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70793884201726"/>
          <c:y val="0.27406790976788914"/>
          <c:w val="0.78860149585089112"/>
          <c:h val="0.47343404641532105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38100" cap="flat" cmpd="sng" algn="ctr">
              <a:solidFill>
                <a:srgbClr val="FF5050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'Bônus - Dashboard'!$P$4:$P$6</c:f>
              <c:strCache>
                <c:ptCount val="3"/>
                <c:pt idx="0">
                  <c:v>ANJOS</c:v>
                </c:pt>
                <c:pt idx="1">
                  <c:v>SILVA</c:v>
                </c:pt>
                <c:pt idx="2">
                  <c:v>ELIAS</c:v>
                </c:pt>
              </c:strCache>
            </c:strRef>
          </c:cat>
          <c:val>
            <c:numRef>
              <c:f>'Bônus - Dashboard'!$Q$4:$Q$6</c:f>
              <c:numCache>
                <c:formatCode>0.00</c:formatCode>
                <c:ptCount val="3"/>
                <c:pt idx="0">
                  <c:v>86</c:v>
                </c:pt>
                <c:pt idx="1">
                  <c:v>81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1A-4381-970D-1060C7748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28623488"/>
        <c:axId val="128624320"/>
      </c:barChart>
      <c:catAx>
        <c:axId val="1286234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624320"/>
        <c:crosses val="autoZero"/>
        <c:auto val="1"/>
        <c:lblAlgn val="ctr"/>
        <c:lblOffset val="100"/>
        <c:noMultiLvlLbl val="0"/>
      </c:catAx>
      <c:valAx>
        <c:axId val="1286243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6234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70793884201726"/>
          <c:y val="0.30672095699996488"/>
          <c:w val="0.78860149585089112"/>
          <c:h val="0.44078099918324531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38100" cap="flat" cmpd="sng" algn="ctr">
              <a:solidFill>
                <a:srgbClr val="00B050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'Bônus - Dashboard'!$P$8:$P$10</c:f>
              <c:strCache>
                <c:ptCount val="3"/>
                <c:pt idx="0">
                  <c:v>ROLLEMBERG</c:v>
                </c:pt>
                <c:pt idx="1">
                  <c:v>ROLLEMBERG</c:v>
                </c:pt>
                <c:pt idx="2">
                  <c:v>WALDECK</c:v>
                </c:pt>
              </c:strCache>
            </c:strRef>
          </c:cat>
          <c:val>
            <c:numRef>
              <c:f>'Bônus - Dashboard'!$Q$8:$Q$10</c:f>
              <c:numCache>
                <c:formatCode>0.00</c:formatCode>
                <c:ptCount val="3"/>
                <c:pt idx="0">
                  <c:v>2</c:v>
                </c:pt>
                <c:pt idx="1">
                  <c:v>2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2-45CE-BB5A-FFA038BD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28623488"/>
        <c:axId val="128624320"/>
      </c:barChart>
      <c:catAx>
        <c:axId val="1286234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624320"/>
        <c:crosses val="autoZero"/>
        <c:auto val="1"/>
        <c:lblAlgn val="ctr"/>
        <c:lblOffset val="100"/>
        <c:noMultiLvlLbl val="0"/>
      </c:catAx>
      <c:valAx>
        <c:axId val="1286243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6234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[Lealdo Rodrigues.xlsm]Bônus - Dashboard!Tabela dinâmica8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Tratativas</a:t>
            </a:r>
          </a:p>
        </c:rich>
      </c:tx>
      <c:layout>
        <c:manualLayout>
          <c:xMode val="edge"/>
          <c:yMode val="edge"/>
          <c:x val="0.36049816222756759"/>
          <c:y val="1.75053975855856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505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solidFill>
            <a:schemeClr val="accent6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85744234800839E-3"/>
          <c:y val="0.30292956967336454"/>
          <c:w val="0.98820779478036946"/>
          <c:h val="0.60326272488895971"/>
        </c:manualLayout>
      </c:layout>
      <c:pie3DChart>
        <c:varyColors val="1"/>
        <c:ser>
          <c:idx val="0"/>
          <c:order val="0"/>
          <c:tx>
            <c:strRef>
              <c:f>'Bônus - Dashboard'!$T$4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5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FAFD-4E01-B220-7EBFDBF3BBAF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FAFD-4E01-B220-7EBFDBF3BBA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'Bônus - Dashboard'!$S$5:$S$6</c:f>
              <c:strCache>
                <c:ptCount val="2"/>
                <c:pt idx="0">
                  <c:v>Não realizada</c:v>
                </c:pt>
                <c:pt idx="1">
                  <c:v>Realizada</c:v>
                </c:pt>
              </c:strCache>
            </c:strRef>
          </c:cat>
          <c:val>
            <c:numRef>
              <c:f>'Bônus - Dashboard'!$T$5:$T$6</c:f>
              <c:numCache>
                <c:formatCode>General</c:formatCode>
                <c:ptCount val="2"/>
                <c:pt idx="0">
                  <c:v>644</c:v>
                </c:pt>
                <c:pt idx="1">
                  <c:v>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FD-4E01-B220-7EBFDBF3B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43231152709685"/>
          <c:y val="0.13236071100868488"/>
          <c:w val="0.62619620660624975"/>
          <c:h val="0.101310202078398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www.linkedin.com/in/lealdorodrigues/" TargetMode="External"/><Relationship Id="rId7" Type="http://schemas.openxmlformats.org/officeDocument/2006/relationships/hyperlink" Target="mailto:lealdors@gmail.com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https://github.com/lealdors" TargetMode="External"/><Relationship Id="rId4" Type="http://schemas.openxmlformats.org/officeDocument/2006/relationships/image" Target="../media/image3.png"/><Relationship Id="rId9" Type="http://schemas.openxmlformats.org/officeDocument/2006/relationships/hyperlink" Target="https://www.lealdo.com.b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2</xdr:row>
      <xdr:rowOff>66676</xdr:rowOff>
    </xdr:from>
    <xdr:to>
      <xdr:col>19</xdr:col>
      <xdr:colOff>571500</xdr:colOff>
      <xdr:row>19</xdr:row>
      <xdr:rowOff>85726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E7E8E42-3C08-4E3C-AD39-8FB4A08DEC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22</xdr:row>
      <xdr:rowOff>76200</xdr:rowOff>
    </xdr:from>
    <xdr:to>
      <xdr:col>19</xdr:col>
      <xdr:colOff>561975</xdr:colOff>
      <xdr:row>36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C322128-F5E8-4223-A558-4FEE67550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9525</xdr:rowOff>
    </xdr:from>
    <xdr:to>
      <xdr:col>10</xdr:col>
      <xdr:colOff>28575</xdr:colOff>
      <xdr:row>12</xdr:row>
      <xdr:rowOff>19050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926E47C6-4709-4062-B35B-3768899F148B}"/>
            </a:ext>
          </a:extLst>
        </xdr:cNvPr>
        <xdr:cNvSpPr/>
      </xdr:nvSpPr>
      <xdr:spPr>
        <a:xfrm>
          <a:off x="5495925" y="390525"/>
          <a:ext cx="1476375" cy="1914525"/>
        </a:xfrm>
        <a:prstGeom prst="rect">
          <a:avLst/>
        </a:prstGeom>
        <a:noFill/>
        <a:ln w="38100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28575</xdr:colOff>
      <xdr:row>4</xdr:row>
      <xdr:rowOff>57150</xdr:rowOff>
    </xdr:from>
    <xdr:to>
      <xdr:col>32</xdr:col>
      <xdr:colOff>0</xdr:colOff>
      <xdr:row>21</xdr:row>
      <xdr:rowOff>30479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epartamento">
              <a:extLst>
                <a:ext uri="{FF2B5EF4-FFF2-40B4-BE49-F238E27FC236}">
                  <a16:creationId xmlns:a16="http://schemas.microsoft.com/office/drawing/2014/main" id="{A22531D8-DC28-4F9F-A396-A5098C267B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962026"/>
              <a:ext cx="1533525" cy="1276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30</xdr:col>
      <xdr:colOff>53340</xdr:colOff>
      <xdr:row>21</xdr:row>
      <xdr:rowOff>95251</xdr:rowOff>
    </xdr:from>
    <xdr:to>
      <xdr:col>31</xdr:col>
      <xdr:colOff>948690</xdr:colOff>
      <xdr:row>26</xdr:row>
      <xdr:rowOff>129541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ratativa">
              <a:extLst>
                <a:ext uri="{FF2B5EF4-FFF2-40B4-BE49-F238E27FC236}">
                  <a16:creationId xmlns:a16="http://schemas.microsoft.com/office/drawing/2014/main" id="{BD3C550F-993D-480A-9896-4EC12FDBFD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t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3340" y="4103371"/>
              <a:ext cx="1520190" cy="9486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34</xdr:col>
      <xdr:colOff>28574</xdr:colOff>
      <xdr:row>17</xdr:row>
      <xdr:rowOff>57150</xdr:rowOff>
    </xdr:from>
    <xdr:to>
      <xdr:col>48</xdr:col>
      <xdr:colOff>590550</xdr:colOff>
      <xdr:row>26</xdr:row>
      <xdr:rowOff>142875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86DCC125-404F-4C3C-888F-0C09EE36F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38100</xdr:colOff>
      <xdr:row>5</xdr:row>
      <xdr:rowOff>57150</xdr:rowOff>
    </xdr:from>
    <xdr:to>
      <xdr:col>49</xdr:col>
      <xdr:colOff>161925</xdr:colOff>
      <xdr:row>17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CFA60224-7E21-402A-B09C-6B014E8364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171450</xdr:colOff>
      <xdr:row>18</xdr:row>
      <xdr:rowOff>95249</xdr:rowOff>
    </xdr:from>
    <xdr:to>
      <xdr:col>48</xdr:col>
      <xdr:colOff>561975</xdr:colOff>
      <xdr:row>19</xdr:row>
      <xdr:rowOff>142874</xdr:rowOff>
    </xdr:to>
    <xdr:sp macro="" textlink="$AA$3">
      <xdr:nvSpPr>
        <xdr:cNvPr id="5" name="CaixaDeTexto 4">
          <a:extLst>
            <a:ext uri="{FF2B5EF4-FFF2-40B4-BE49-F238E27FC236}">
              <a16:creationId xmlns:a16="http://schemas.microsoft.com/office/drawing/2014/main" id="{C3A01699-A0AF-47A5-85E2-675DF71F09D0}"/>
            </a:ext>
          </a:extLst>
        </xdr:cNvPr>
        <xdr:cNvSpPr txBox="1"/>
      </xdr:nvSpPr>
      <xdr:spPr>
        <a:xfrm>
          <a:off x="24917400" y="3667124"/>
          <a:ext cx="22193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01D48A-378A-40F5-99FF-7B7DBACC785C}" type="TxLink">
            <a:rPr lang="en-US" sz="1100" b="1" i="0" u="none" strike="noStrike">
              <a:solidFill>
                <a:schemeClr val="accent2"/>
              </a:solidFill>
              <a:latin typeface="Calibri (Corpo)"/>
            </a:rPr>
            <a:pPr algn="ctr"/>
            <a:t> Média: 53,4</a:t>
          </a:fld>
          <a:endParaRPr lang="pt-BR" sz="1100" b="1">
            <a:solidFill>
              <a:schemeClr val="accent2"/>
            </a:solidFill>
            <a:latin typeface="Calibri (Corpo)"/>
          </a:endParaRPr>
        </a:p>
      </xdr:txBody>
    </xdr:sp>
    <xdr:clientData/>
  </xdr:twoCellAnchor>
  <xdr:twoCellAnchor>
    <xdr:from>
      <xdr:col>30</xdr:col>
      <xdr:colOff>47625</xdr:colOff>
      <xdr:row>2</xdr:row>
      <xdr:rowOff>19049</xdr:rowOff>
    </xdr:from>
    <xdr:to>
      <xdr:col>31</xdr:col>
      <xdr:colOff>914400</xdr:colOff>
      <xdr:row>4</xdr:row>
      <xdr:rowOff>9524</xdr:rowOff>
    </xdr:to>
    <xdr:sp macro="[0]!Atttabel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F3FD6DD-7B21-4154-BDD2-7A34BFF52300}"/>
            </a:ext>
          </a:extLst>
        </xdr:cNvPr>
        <xdr:cNvSpPr/>
      </xdr:nvSpPr>
      <xdr:spPr>
        <a:xfrm>
          <a:off x="47625" y="542924"/>
          <a:ext cx="14763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</a:t>
          </a:r>
          <a:r>
            <a:rPr lang="pt-BR" sz="1100" baseline="0"/>
            <a:t> DADOS</a:t>
          </a:r>
          <a:endParaRPr lang="pt-BR" sz="1100"/>
        </a:p>
      </xdr:txBody>
    </xdr:sp>
    <xdr:clientData/>
  </xdr:twoCellAnchor>
  <xdr:twoCellAnchor>
    <xdr:from>
      <xdr:col>33</xdr:col>
      <xdr:colOff>120015</xdr:colOff>
      <xdr:row>7</xdr:row>
      <xdr:rowOff>60960</xdr:rowOff>
    </xdr:from>
    <xdr:to>
      <xdr:col>34</xdr:col>
      <xdr:colOff>205740</xdr:colOff>
      <xdr:row>10</xdr:row>
      <xdr:rowOff>179069</xdr:rowOff>
    </xdr:to>
    <xdr:sp macro="" textlink="">
      <xdr:nvSpPr>
        <xdr:cNvPr id="7" name="Seta: para Cima 6">
          <a:extLst>
            <a:ext uri="{FF2B5EF4-FFF2-40B4-BE49-F238E27FC236}">
              <a16:creationId xmlns:a16="http://schemas.microsoft.com/office/drawing/2014/main" id="{3991A421-440C-4727-8D94-453383DCC171}"/>
            </a:ext>
          </a:extLst>
        </xdr:cNvPr>
        <xdr:cNvSpPr/>
      </xdr:nvSpPr>
      <xdr:spPr>
        <a:xfrm>
          <a:off x="1819275" y="1508760"/>
          <a:ext cx="245745" cy="666749"/>
        </a:xfrm>
        <a:prstGeom prst="upArrow">
          <a:avLst/>
        </a:prstGeom>
        <a:solidFill>
          <a:srgbClr val="FF5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200026</xdr:colOff>
      <xdr:row>6</xdr:row>
      <xdr:rowOff>33337</xdr:rowOff>
    </xdr:from>
    <xdr:to>
      <xdr:col>39</xdr:col>
      <xdr:colOff>209550</xdr:colOff>
      <xdr:row>12</xdr:row>
      <xdr:rowOff>57150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65D08C0-098F-461D-850C-3A483E543B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238125</xdr:colOff>
      <xdr:row>12</xdr:row>
      <xdr:rowOff>180976</xdr:rowOff>
    </xdr:from>
    <xdr:to>
      <xdr:col>39</xdr:col>
      <xdr:colOff>219075</xdr:colOff>
      <xdr:row>18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DB38CCC-DA2C-4F2B-A1A9-59F2B8922C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127635</xdr:colOff>
      <xdr:row>14</xdr:row>
      <xdr:rowOff>53435</xdr:rowOff>
    </xdr:from>
    <xdr:to>
      <xdr:col>34</xdr:col>
      <xdr:colOff>213360</xdr:colOff>
      <xdr:row>17</xdr:row>
      <xdr:rowOff>165734</xdr:rowOff>
    </xdr:to>
    <xdr:sp macro="" textlink="">
      <xdr:nvSpPr>
        <xdr:cNvPr id="12" name="Seta: para Cima 11">
          <a:extLst>
            <a:ext uri="{FF2B5EF4-FFF2-40B4-BE49-F238E27FC236}">
              <a16:creationId xmlns:a16="http://schemas.microsoft.com/office/drawing/2014/main" id="{396436AA-9EE1-48D0-B428-8D75FB365449}"/>
            </a:ext>
          </a:extLst>
        </xdr:cNvPr>
        <xdr:cNvSpPr/>
      </xdr:nvSpPr>
      <xdr:spPr>
        <a:xfrm flipV="1">
          <a:off x="1826895" y="2781395"/>
          <a:ext cx="245745" cy="660939"/>
        </a:xfrm>
        <a:prstGeom prst="upArrow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171450</xdr:colOff>
      <xdr:row>5</xdr:row>
      <xdr:rowOff>152400</xdr:rowOff>
    </xdr:from>
    <xdr:to>
      <xdr:col>39</xdr:col>
      <xdr:colOff>266700</xdr:colOff>
      <xdr:row>6</xdr:row>
      <xdr:rowOff>171450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3E64E8BA-85B0-41A6-8AF5-229533AF680C}"/>
            </a:ext>
          </a:extLst>
        </xdr:cNvPr>
        <xdr:cNvSpPr txBox="1"/>
      </xdr:nvSpPr>
      <xdr:spPr>
        <a:xfrm>
          <a:off x="16992600" y="1247775"/>
          <a:ext cx="31432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TOP</a:t>
          </a:r>
          <a:r>
            <a:rPr lang="pt-BR" sz="1200" b="1" baseline="0">
              <a:solidFill>
                <a:schemeClr val="bg1"/>
              </a:solidFill>
            </a:rPr>
            <a:t> 3 - Funcionários com Maior Hora Extra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34</xdr:col>
      <xdr:colOff>171450</xdr:colOff>
      <xdr:row>12</xdr:row>
      <xdr:rowOff>85724</xdr:rowOff>
    </xdr:from>
    <xdr:to>
      <xdr:col>39</xdr:col>
      <xdr:colOff>161925</xdr:colOff>
      <xdr:row>13</xdr:row>
      <xdr:rowOff>114299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C269A7CA-47BC-4559-B8AE-0276FF671D9E}"/>
            </a:ext>
          </a:extLst>
        </xdr:cNvPr>
        <xdr:cNvSpPr txBox="1"/>
      </xdr:nvSpPr>
      <xdr:spPr>
        <a:xfrm>
          <a:off x="16992600" y="2514599"/>
          <a:ext cx="3038475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TOP</a:t>
          </a:r>
          <a:r>
            <a:rPr lang="pt-BR" sz="1200" b="1" baseline="0">
              <a:solidFill>
                <a:schemeClr val="bg1"/>
              </a:solidFill>
            </a:rPr>
            <a:t> 3 - Funcionários com Menor Hora Extra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38</xdr:col>
      <xdr:colOff>419100</xdr:colOff>
      <xdr:row>5</xdr:row>
      <xdr:rowOff>76200</xdr:rowOff>
    </xdr:from>
    <xdr:to>
      <xdr:col>44</xdr:col>
      <xdr:colOff>252411</xdr:colOff>
      <xdr:row>18</xdr:row>
      <xdr:rowOff>61912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AE99733-C389-4F33-A66F-693B36766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93962</xdr:rowOff>
    </xdr:from>
    <xdr:to>
      <xdr:col>21</xdr:col>
      <xdr:colOff>68580</xdr:colOff>
      <xdr:row>27</xdr:row>
      <xdr:rowOff>152399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A96B230-1BD7-E82D-494B-5157987771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29" t="579" r="1572" b="444"/>
        <a:stretch/>
      </xdr:blipFill>
      <xdr:spPr>
        <a:xfrm>
          <a:off x="1524000" y="276842"/>
          <a:ext cx="11346180" cy="4813317"/>
        </a:xfrm>
        <a:prstGeom prst="roundRect">
          <a:avLst/>
        </a:prstGeom>
      </xdr:spPr>
    </xdr:pic>
    <xdr:clientData/>
  </xdr:twoCellAnchor>
  <xdr:twoCellAnchor editAs="oneCell">
    <xdr:from>
      <xdr:col>3</xdr:col>
      <xdr:colOff>236220</xdr:colOff>
      <xdr:row>19</xdr:row>
      <xdr:rowOff>7620</xdr:rowOff>
    </xdr:from>
    <xdr:to>
      <xdr:col>7</xdr:col>
      <xdr:colOff>68580</xdr:colOff>
      <xdr:row>24</xdr:row>
      <xdr:rowOff>106680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5EFE123-9B7B-675F-05D0-D209604CB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65020" y="3482340"/>
          <a:ext cx="2270760" cy="1013460"/>
        </a:xfrm>
        <a:prstGeom prst="rect">
          <a:avLst/>
        </a:prstGeom>
      </xdr:spPr>
    </xdr:pic>
    <xdr:clientData/>
  </xdr:twoCellAnchor>
  <xdr:twoCellAnchor editAs="oneCell">
    <xdr:from>
      <xdr:col>3</xdr:col>
      <xdr:colOff>563880</xdr:colOff>
      <xdr:row>19</xdr:row>
      <xdr:rowOff>167640</xdr:rowOff>
    </xdr:from>
    <xdr:to>
      <xdr:col>4</xdr:col>
      <xdr:colOff>335313</xdr:colOff>
      <xdr:row>21</xdr:row>
      <xdr:rowOff>106706</xdr:rowOff>
    </xdr:to>
    <xdr:pic>
      <xdr:nvPicPr>
        <xdr:cNvPr id="8" name="Imagem 7">
          <a:hlinkClick xmlns:r="http://schemas.openxmlformats.org/officeDocument/2006/relationships" r:id="rId3" tooltip="Linkedin"/>
          <a:extLst>
            <a:ext uri="{FF2B5EF4-FFF2-40B4-BE49-F238E27FC236}">
              <a16:creationId xmlns:a16="http://schemas.microsoft.com/office/drawing/2014/main" id="{DB4127CB-336B-2EDB-1B8D-5A0CED46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92680" y="3642360"/>
          <a:ext cx="381033" cy="304826"/>
        </a:xfrm>
        <a:prstGeom prst="rect">
          <a:avLst/>
        </a:prstGeom>
      </xdr:spPr>
    </xdr:pic>
    <xdr:clientData/>
  </xdr:twoCellAnchor>
  <xdr:twoCellAnchor editAs="oneCell">
    <xdr:from>
      <xdr:col>4</xdr:col>
      <xdr:colOff>525780</xdr:colOff>
      <xdr:row>20</xdr:row>
      <xdr:rowOff>0</xdr:rowOff>
    </xdr:from>
    <xdr:to>
      <xdr:col>5</xdr:col>
      <xdr:colOff>228627</xdr:colOff>
      <xdr:row>21</xdr:row>
      <xdr:rowOff>106705</xdr:rowOff>
    </xdr:to>
    <xdr:pic>
      <xdr:nvPicPr>
        <xdr:cNvPr id="9" name="Imagem 8">
          <a:hlinkClick xmlns:r="http://schemas.openxmlformats.org/officeDocument/2006/relationships" r:id="rId5" tooltip="Github"/>
          <a:extLst>
            <a:ext uri="{FF2B5EF4-FFF2-40B4-BE49-F238E27FC236}">
              <a16:creationId xmlns:a16="http://schemas.microsoft.com/office/drawing/2014/main" id="{94AC1524-BDE8-3F9A-99EA-989D662EC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64180" y="3657600"/>
          <a:ext cx="312447" cy="289585"/>
        </a:xfrm>
        <a:prstGeom prst="rect">
          <a:avLst/>
        </a:prstGeom>
      </xdr:spPr>
    </xdr:pic>
    <xdr:clientData/>
  </xdr:twoCellAnchor>
  <xdr:twoCellAnchor editAs="oneCell">
    <xdr:from>
      <xdr:col>5</xdr:col>
      <xdr:colOff>434340</xdr:colOff>
      <xdr:row>20</xdr:row>
      <xdr:rowOff>15240</xdr:rowOff>
    </xdr:from>
    <xdr:to>
      <xdr:col>6</xdr:col>
      <xdr:colOff>152428</xdr:colOff>
      <xdr:row>21</xdr:row>
      <xdr:rowOff>114324</xdr:rowOff>
    </xdr:to>
    <xdr:pic>
      <xdr:nvPicPr>
        <xdr:cNvPr id="10" name="Imagem 9">
          <a:hlinkClick xmlns:r="http://schemas.openxmlformats.org/officeDocument/2006/relationships" r:id="rId7" tooltip="E-mail"/>
          <a:extLst>
            <a:ext uri="{FF2B5EF4-FFF2-40B4-BE49-F238E27FC236}">
              <a16:creationId xmlns:a16="http://schemas.microsoft.com/office/drawing/2014/main" id="{3BDCFB50-614C-C31C-500F-69D5A2CBD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82340" y="3672840"/>
          <a:ext cx="327688" cy="281964"/>
        </a:xfrm>
        <a:prstGeom prst="rect">
          <a:avLst/>
        </a:prstGeom>
      </xdr:spPr>
    </xdr:pic>
    <xdr:clientData/>
  </xdr:twoCellAnchor>
  <xdr:twoCellAnchor>
    <xdr:from>
      <xdr:col>2</xdr:col>
      <xdr:colOff>274320</xdr:colOff>
      <xdr:row>22</xdr:row>
      <xdr:rowOff>106680</xdr:rowOff>
    </xdr:from>
    <xdr:to>
      <xdr:col>7</xdr:col>
      <xdr:colOff>518160</xdr:colOff>
      <xdr:row>24</xdr:row>
      <xdr:rowOff>0</xdr:rowOff>
    </xdr:to>
    <xdr:sp macro="" textlink="">
      <xdr:nvSpPr>
        <xdr:cNvPr id="3" name="CaixaDeTexto 2">
          <a:hlinkClick xmlns:r="http://schemas.openxmlformats.org/officeDocument/2006/relationships" r:id="rId9" tooltip="Clique para acessar..."/>
          <a:extLst>
            <a:ext uri="{FF2B5EF4-FFF2-40B4-BE49-F238E27FC236}">
              <a16:creationId xmlns:a16="http://schemas.microsoft.com/office/drawing/2014/main" id="{5A76182D-D59D-2F60-F6C5-FC26F18EA720}"/>
            </a:ext>
          </a:extLst>
        </xdr:cNvPr>
        <xdr:cNvSpPr txBox="1"/>
      </xdr:nvSpPr>
      <xdr:spPr>
        <a:xfrm>
          <a:off x="1493520" y="4130040"/>
          <a:ext cx="329184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solidFill>
                <a:srgbClr val="00B0F0"/>
              </a:solidFill>
            </a:rPr>
            <a:t>https://www.lealdo.com.br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aldo Santana" refreshedDate="44408.77591851852" createdVersion="7" refreshedVersion="7" minRefreshableVersion="3" recordCount="1221" xr:uid="{2672ADF2-4485-4F89-A88C-59A8DE29164F}">
  <cacheSource type="worksheet">
    <worksheetSource name="Tabela5"/>
  </cacheSource>
  <cacheFields count="7">
    <cacheField name="Departamento" numFmtId="0">
      <sharedItems count="3">
        <s v="DCMD"/>
        <s v="DESC"/>
        <s v="DEOP"/>
      </sharedItems>
    </cacheField>
    <cacheField name="Data" numFmtId="14">
      <sharedItems containsSemiMixedTypes="0" containsNonDate="0" containsDate="1" containsString="0" minDate="2021-04-01T00:00:00" maxDate="2021-05-01T00:00:00"/>
    </cacheField>
    <cacheField name="Nome" numFmtId="0">
      <sharedItems count="38">
        <s v="LEMOS"/>
        <s v="DANTAS"/>
        <s v="SILVA"/>
        <s v="MENEZES"/>
        <s v="SANTOS"/>
        <s v="FEITOSA"/>
        <s v="OLIVEIRA"/>
        <s v="GILTON"/>
        <s v="WALDECK"/>
        <s v="ANJOS"/>
        <s v="ROLLEMBERG"/>
        <s v="ELIAS"/>
        <s v="JOSE"/>
        <s v="ALVES"/>
        <s v="ROCHA"/>
        <s v="ARNALDO"/>
        <s v="COSTA"/>
        <s v="JORGE"/>
        <s v="VALTRAN"/>
        <s v="LOURIVAL"/>
        <s v="JESUS"/>
        <s v="LEONIDO"/>
        <s v="LOBAO"/>
        <s v="ANTONIO"/>
        <s v="DICKSON"/>
        <s v="AILTON"/>
        <s v="ANDRADE"/>
        <s v="VAMIR"/>
        <s v="EDNALDO"/>
        <s v="JAILTON"/>
        <s v="RIOS"/>
        <s v="EVILASIA"/>
        <s v="RICARDO"/>
        <s v="LUIZ"/>
        <s v="BRITO"/>
        <s v="BARROS"/>
        <s v="JUNIOR"/>
        <s v="CONCEIÇÃO"/>
      </sharedItems>
    </cacheField>
    <cacheField name="Tratativa" numFmtId="0">
      <sharedItems count="2">
        <s v="Não realizada"/>
        <s v="Realizada"/>
      </sharedItems>
    </cacheField>
    <cacheField name="Hora Extra" numFmtId="2">
      <sharedItems containsSemiMixedTypes="0" containsString="0" containsNumber="1" containsInteger="1" minValue="1" maxValue="2"/>
    </cacheField>
    <cacheField name="Dia" numFmtId="0">
      <sharedItems containsSemiMixedTypes="0" containsString="0" containsNumber="1" containsInteger="1" minValue="1" maxValue="30" count="30">
        <n v="1"/>
        <n v="5"/>
        <n v="6"/>
        <n v="7"/>
        <n v="8"/>
        <n v="9"/>
        <n v="12"/>
        <n v="13"/>
        <n v="14"/>
        <n v="15"/>
        <n v="16"/>
        <n v="19"/>
        <n v="20"/>
        <n v="22"/>
        <n v="23"/>
        <n v="26"/>
        <n v="27"/>
        <n v="28"/>
        <n v="29"/>
        <n v="30"/>
        <n v="17"/>
        <n v="3"/>
        <n v="4"/>
        <n v="10"/>
        <n v="11"/>
        <n v="18"/>
        <n v="21"/>
        <n v="2"/>
        <n v="25"/>
        <n v="24"/>
      </sharedItems>
    </cacheField>
    <cacheField name="Dia Semana" numFmtId="0">
      <sharedItems count="7">
        <s v="Quinta-Feira"/>
        <s v="Segunda-Feira"/>
        <s v="Terça-Feira"/>
        <s v="Quarta-Feira"/>
        <s v="Sexta-Feira"/>
        <s v="Fim de Semana"/>
        <s v="fds" u="1"/>
      </sharedItems>
    </cacheField>
  </cacheFields>
  <extLst>
    <ext xmlns:x14="http://schemas.microsoft.com/office/spreadsheetml/2009/9/main" uri="{725AE2AE-9491-48be-B2B4-4EB974FC3084}">
      <x14:pivotCacheDefinition pivotCacheId="56380879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1">
  <r>
    <x v="0"/>
    <d v="2021-04-01T00:00:00"/>
    <x v="0"/>
    <x v="0"/>
    <n v="2"/>
    <x v="0"/>
    <x v="0"/>
  </r>
  <r>
    <x v="0"/>
    <d v="2021-04-05T00:00:00"/>
    <x v="0"/>
    <x v="1"/>
    <n v="2"/>
    <x v="1"/>
    <x v="1"/>
  </r>
  <r>
    <x v="0"/>
    <d v="2021-04-05T00:00:00"/>
    <x v="0"/>
    <x v="0"/>
    <n v="1"/>
    <x v="1"/>
    <x v="1"/>
  </r>
  <r>
    <x v="0"/>
    <d v="2021-04-05T00:00:00"/>
    <x v="0"/>
    <x v="1"/>
    <n v="1"/>
    <x v="1"/>
    <x v="1"/>
  </r>
  <r>
    <x v="0"/>
    <d v="2021-04-06T00:00:00"/>
    <x v="0"/>
    <x v="0"/>
    <n v="2"/>
    <x v="2"/>
    <x v="2"/>
  </r>
  <r>
    <x v="0"/>
    <d v="2021-04-07T00:00:00"/>
    <x v="0"/>
    <x v="1"/>
    <n v="2"/>
    <x v="3"/>
    <x v="3"/>
  </r>
  <r>
    <x v="0"/>
    <d v="2021-04-08T00:00:00"/>
    <x v="0"/>
    <x v="0"/>
    <n v="2"/>
    <x v="4"/>
    <x v="0"/>
  </r>
  <r>
    <x v="0"/>
    <d v="2021-04-09T00:00:00"/>
    <x v="0"/>
    <x v="1"/>
    <n v="1"/>
    <x v="5"/>
    <x v="4"/>
  </r>
  <r>
    <x v="0"/>
    <d v="2021-04-09T00:00:00"/>
    <x v="0"/>
    <x v="0"/>
    <n v="2"/>
    <x v="5"/>
    <x v="4"/>
  </r>
  <r>
    <x v="0"/>
    <d v="2021-04-12T00:00:00"/>
    <x v="0"/>
    <x v="1"/>
    <n v="2"/>
    <x v="6"/>
    <x v="1"/>
  </r>
  <r>
    <x v="0"/>
    <d v="2021-04-13T00:00:00"/>
    <x v="0"/>
    <x v="0"/>
    <n v="2"/>
    <x v="7"/>
    <x v="2"/>
  </r>
  <r>
    <x v="0"/>
    <d v="2021-04-13T00:00:00"/>
    <x v="0"/>
    <x v="1"/>
    <n v="2"/>
    <x v="7"/>
    <x v="2"/>
  </r>
  <r>
    <x v="0"/>
    <d v="2021-04-14T00:00:00"/>
    <x v="0"/>
    <x v="0"/>
    <n v="2"/>
    <x v="8"/>
    <x v="3"/>
  </r>
  <r>
    <x v="0"/>
    <d v="2021-04-14T00:00:00"/>
    <x v="0"/>
    <x v="1"/>
    <n v="1"/>
    <x v="8"/>
    <x v="3"/>
  </r>
  <r>
    <x v="0"/>
    <d v="2021-04-14T00:00:00"/>
    <x v="0"/>
    <x v="0"/>
    <n v="1"/>
    <x v="8"/>
    <x v="3"/>
  </r>
  <r>
    <x v="0"/>
    <d v="2021-04-15T00:00:00"/>
    <x v="0"/>
    <x v="1"/>
    <n v="2"/>
    <x v="9"/>
    <x v="0"/>
  </r>
  <r>
    <x v="0"/>
    <d v="2021-04-16T00:00:00"/>
    <x v="0"/>
    <x v="0"/>
    <n v="1"/>
    <x v="10"/>
    <x v="4"/>
  </r>
  <r>
    <x v="0"/>
    <d v="2021-04-19T00:00:00"/>
    <x v="0"/>
    <x v="1"/>
    <n v="2"/>
    <x v="11"/>
    <x v="1"/>
  </r>
  <r>
    <x v="0"/>
    <d v="2021-04-20T00:00:00"/>
    <x v="0"/>
    <x v="0"/>
    <n v="2"/>
    <x v="12"/>
    <x v="2"/>
  </r>
  <r>
    <x v="0"/>
    <d v="2021-04-22T00:00:00"/>
    <x v="0"/>
    <x v="1"/>
    <n v="2"/>
    <x v="13"/>
    <x v="0"/>
  </r>
  <r>
    <x v="0"/>
    <d v="2021-04-23T00:00:00"/>
    <x v="0"/>
    <x v="0"/>
    <n v="1"/>
    <x v="14"/>
    <x v="4"/>
  </r>
  <r>
    <x v="0"/>
    <d v="2021-04-26T00:00:00"/>
    <x v="0"/>
    <x v="1"/>
    <n v="2"/>
    <x v="15"/>
    <x v="1"/>
  </r>
  <r>
    <x v="0"/>
    <d v="2021-04-26T00:00:00"/>
    <x v="0"/>
    <x v="0"/>
    <n v="1"/>
    <x v="15"/>
    <x v="1"/>
  </r>
  <r>
    <x v="0"/>
    <d v="2021-04-26T00:00:00"/>
    <x v="0"/>
    <x v="1"/>
    <n v="1"/>
    <x v="15"/>
    <x v="1"/>
  </r>
  <r>
    <x v="0"/>
    <d v="2021-04-27T00:00:00"/>
    <x v="0"/>
    <x v="0"/>
    <n v="2"/>
    <x v="16"/>
    <x v="2"/>
  </r>
  <r>
    <x v="0"/>
    <d v="2021-04-28T00:00:00"/>
    <x v="0"/>
    <x v="1"/>
    <n v="2"/>
    <x v="17"/>
    <x v="3"/>
  </r>
  <r>
    <x v="0"/>
    <d v="2021-04-29T00:00:00"/>
    <x v="0"/>
    <x v="0"/>
    <n v="1"/>
    <x v="18"/>
    <x v="0"/>
  </r>
  <r>
    <x v="0"/>
    <d v="2021-04-30T00:00:00"/>
    <x v="0"/>
    <x v="1"/>
    <n v="1"/>
    <x v="19"/>
    <x v="4"/>
  </r>
  <r>
    <x v="0"/>
    <d v="2021-04-30T00:00:00"/>
    <x v="0"/>
    <x v="0"/>
    <n v="1"/>
    <x v="19"/>
    <x v="4"/>
  </r>
  <r>
    <x v="0"/>
    <d v="2021-04-30T00:00:00"/>
    <x v="0"/>
    <x v="1"/>
    <n v="2"/>
    <x v="19"/>
    <x v="4"/>
  </r>
  <r>
    <x v="0"/>
    <d v="2021-04-01T00:00:00"/>
    <x v="1"/>
    <x v="0"/>
    <n v="2"/>
    <x v="0"/>
    <x v="0"/>
  </r>
  <r>
    <x v="0"/>
    <d v="2021-04-05T00:00:00"/>
    <x v="1"/>
    <x v="1"/>
    <n v="1"/>
    <x v="1"/>
    <x v="1"/>
  </r>
  <r>
    <x v="0"/>
    <d v="2021-04-06T00:00:00"/>
    <x v="1"/>
    <x v="0"/>
    <n v="2"/>
    <x v="2"/>
    <x v="2"/>
  </r>
  <r>
    <x v="0"/>
    <d v="2021-04-07T00:00:00"/>
    <x v="1"/>
    <x v="1"/>
    <n v="2"/>
    <x v="3"/>
    <x v="3"/>
  </r>
  <r>
    <x v="0"/>
    <d v="2021-04-08T00:00:00"/>
    <x v="1"/>
    <x v="0"/>
    <n v="1"/>
    <x v="4"/>
    <x v="0"/>
  </r>
  <r>
    <x v="0"/>
    <d v="2021-04-09T00:00:00"/>
    <x v="1"/>
    <x v="1"/>
    <n v="2"/>
    <x v="5"/>
    <x v="4"/>
  </r>
  <r>
    <x v="0"/>
    <d v="2021-04-12T00:00:00"/>
    <x v="1"/>
    <x v="0"/>
    <n v="1"/>
    <x v="6"/>
    <x v="1"/>
  </r>
  <r>
    <x v="0"/>
    <d v="2021-04-13T00:00:00"/>
    <x v="1"/>
    <x v="1"/>
    <n v="2"/>
    <x v="7"/>
    <x v="2"/>
  </r>
  <r>
    <x v="0"/>
    <d v="2021-04-14T00:00:00"/>
    <x v="1"/>
    <x v="0"/>
    <n v="1"/>
    <x v="8"/>
    <x v="3"/>
  </r>
  <r>
    <x v="0"/>
    <d v="2021-04-15T00:00:00"/>
    <x v="1"/>
    <x v="1"/>
    <n v="1"/>
    <x v="9"/>
    <x v="0"/>
  </r>
  <r>
    <x v="0"/>
    <d v="2021-04-16T00:00:00"/>
    <x v="1"/>
    <x v="0"/>
    <n v="1"/>
    <x v="10"/>
    <x v="4"/>
  </r>
  <r>
    <x v="0"/>
    <d v="2021-04-19T00:00:00"/>
    <x v="1"/>
    <x v="1"/>
    <n v="1"/>
    <x v="11"/>
    <x v="1"/>
  </r>
  <r>
    <x v="0"/>
    <d v="2021-04-20T00:00:00"/>
    <x v="1"/>
    <x v="0"/>
    <n v="2"/>
    <x v="12"/>
    <x v="2"/>
  </r>
  <r>
    <x v="0"/>
    <d v="2021-04-22T00:00:00"/>
    <x v="1"/>
    <x v="1"/>
    <n v="1"/>
    <x v="13"/>
    <x v="0"/>
  </r>
  <r>
    <x v="0"/>
    <d v="2021-04-23T00:00:00"/>
    <x v="1"/>
    <x v="0"/>
    <n v="1"/>
    <x v="14"/>
    <x v="4"/>
  </r>
  <r>
    <x v="0"/>
    <d v="2021-04-26T00:00:00"/>
    <x v="1"/>
    <x v="1"/>
    <n v="1"/>
    <x v="15"/>
    <x v="1"/>
  </r>
  <r>
    <x v="0"/>
    <d v="2021-04-27T00:00:00"/>
    <x v="1"/>
    <x v="0"/>
    <n v="1"/>
    <x v="16"/>
    <x v="2"/>
  </r>
  <r>
    <x v="0"/>
    <d v="2021-04-28T00:00:00"/>
    <x v="1"/>
    <x v="1"/>
    <n v="1"/>
    <x v="17"/>
    <x v="3"/>
  </r>
  <r>
    <x v="0"/>
    <d v="2021-04-29T00:00:00"/>
    <x v="1"/>
    <x v="0"/>
    <n v="1"/>
    <x v="18"/>
    <x v="0"/>
  </r>
  <r>
    <x v="0"/>
    <d v="2021-04-30T00:00:00"/>
    <x v="1"/>
    <x v="1"/>
    <n v="2"/>
    <x v="19"/>
    <x v="4"/>
  </r>
  <r>
    <x v="0"/>
    <d v="2021-04-01T00:00:00"/>
    <x v="2"/>
    <x v="0"/>
    <n v="2"/>
    <x v="0"/>
    <x v="0"/>
  </r>
  <r>
    <x v="0"/>
    <d v="2021-04-05T00:00:00"/>
    <x v="2"/>
    <x v="1"/>
    <n v="2"/>
    <x v="1"/>
    <x v="1"/>
  </r>
  <r>
    <x v="0"/>
    <d v="2021-04-05T00:00:00"/>
    <x v="2"/>
    <x v="0"/>
    <n v="1"/>
    <x v="1"/>
    <x v="1"/>
  </r>
  <r>
    <x v="0"/>
    <d v="2021-04-06T00:00:00"/>
    <x v="2"/>
    <x v="1"/>
    <n v="2"/>
    <x v="2"/>
    <x v="2"/>
  </r>
  <r>
    <x v="0"/>
    <d v="2021-04-06T00:00:00"/>
    <x v="2"/>
    <x v="0"/>
    <n v="1"/>
    <x v="2"/>
    <x v="2"/>
  </r>
  <r>
    <x v="0"/>
    <d v="2021-04-07T00:00:00"/>
    <x v="2"/>
    <x v="1"/>
    <n v="1"/>
    <x v="3"/>
    <x v="3"/>
  </r>
  <r>
    <x v="0"/>
    <d v="2021-04-07T00:00:00"/>
    <x v="2"/>
    <x v="0"/>
    <n v="2"/>
    <x v="3"/>
    <x v="3"/>
  </r>
  <r>
    <x v="0"/>
    <d v="2021-04-07T00:00:00"/>
    <x v="2"/>
    <x v="1"/>
    <n v="1"/>
    <x v="3"/>
    <x v="3"/>
  </r>
  <r>
    <x v="0"/>
    <d v="2021-04-08T00:00:00"/>
    <x v="2"/>
    <x v="0"/>
    <n v="2"/>
    <x v="4"/>
    <x v="0"/>
  </r>
  <r>
    <x v="0"/>
    <d v="2021-04-08T00:00:00"/>
    <x v="2"/>
    <x v="1"/>
    <n v="1"/>
    <x v="4"/>
    <x v="0"/>
  </r>
  <r>
    <x v="0"/>
    <d v="2021-04-08T00:00:00"/>
    <x v="2"/>
    <x v="0"/>
    <n v="1"/>
    <x v="4"/>
    <x v="0"/>
  </r>
  <r>
    <x v="0"/>
    <d v="2021-04-09T00:00:00"/>
    <x v="2"/>
    <x v="1"/>
    <n v="1"/>
    <x v="5"/>
    <x v="4"/>
  </r>
  <r>
    <x v="0"/>
    <d v="2021-04-09T00:00:00"/>
    <x v="2"/>
    <x v="0"/>
    <n v="1"/>
    <x v="5"/>
    <x v="4"/>
  </r>
  <r>
    <x v="0"/>
    <d v="2021-04-09T00:00:00"/>
    <x v="2"/>
    <x v="1"/>
    <n v="1"/>
    <x v="5"/>
    <x v="4"/>
  </r>
  <r>
    <x v="0"/>
    <d v="2021-04-12T00:00:00"/>
    <x v="2"/>
    <x v="0"/>
    <n v="2"/>
    <x v="6"/>
    <x v="1"/>
  </r>
  <r>
    <x v="0"/>
    <d v="2021-04-12T00:00:00"/>
    <x v="2"/>
    <x v="1"/>
    <n v="2"/>
    <x v="6"/>
    <x v="1"/>
  </r>
  <r>
    <x v="0"/>
    <d v="2021-04-12T00:00:00"/>
    <x v="2"/>
    <x v="0"/>
    <n v="2"/>
    <x v="6"/>
    <x v="1"/>
  </r>
  <r>
    <x v="0"/>
    <d v="2021-04-13T00:00:00"/>
    <x v="2"/>
    <x v="1"/>
    <n v="2"/>
    <x v="7"/>
    <x v="2"/>
  </r>
  <r>
    <x v="0"/>
    <d v="2021-04-13T00:00:00"/>
    <x v="2"/>
    <x v="0"/>
    <n v="2"/>
    <x v="7"/>
    <x v="2"/>
  </r>
  <r>
    <x v="0"/>
    <d v="2021-04-13T00:00:00"/>
    <x v="2"/>
    <x v="1"/>
    <n v="2"/>
    <x v="7"/>
    <x v="2"/>
  </r>
  <r>
    <x v="0"/>
    <d v="2021-04-14T00:00:00"/>
    <x v="2"/>
    <x v="0"/>
    <n v="1"/>
    <x v="8"/>
    <x v="3"/>
  </r>
  <r>
    <x v="0"/>
    <d v="2021-04-14T00:00:00"/>
    <x v="2"/>
    <x v="1"/>
    <n v="1"/>
    <x v="8"/>
    <x v="3"/>
  </r>
  <r>
    <x v="0"/>
    <d v="2021-04-14T00:00:00"/>
    <x v="2"/>
    <x v="0"/>
    <n v="1"/>
    <x v="8"/>
    <x v="3"/>
  </r>
  <r>
    <x v="0"/>
    <d v="2021-04-15T00:00:00"/>
    <x v="2"/>
    <x v="1"/>
    <n v="1"/>
    <x v="9"/>
    <x v="0"/>
  </r>
  <r>
    <x v="0"/>
    <d v="2021-04-15T00:00:00"/>
    <x v="2"/>
    <x v="0"/>
    <n v="2"/>
    <x v="9"/>
    <x v="0"/>
  </r>
  <r>
    <x v="0"/>
    <d v="2021-04-15T00:00:00"/>
    <x v="2"/>
    <x v="1"/>
    <n v="2"/>
    <x v="9"/>
    <x v="0"/>
  </r>
  <r>
    <x v="0"/>
    <d v="2021-04-16T00:00:00"/>
    <x v="2"/>
    <x v="0"/>
    <n v="1"/>
    <x v="10"/>
    <x v="4"/>
  </r>
  <r>
    <x v="0"/>
    <d v="2021-04-19T00:00:00"/>
    <x v="2"/>
    <x v="1"/>
    <n v="1"/>
    <x v="11"/>
    <x v="1"/>
  </r>
  <r>
    <x v="0"/>
    <d v="2021-04-19T00:00:00"/>
    <x v="2"/>
    <x v="0"/>
    <n v="2"/>
    <x v="11"/>
    <x v="1"/>
  </r>
  <r>
    <x v="0"/>
    <d v="2021-04-19T00:00:00"/>
    <x v="2"/>
    <x v="1"/>
    <n v="2"/>
    <x v="11"/>
    <x v="1"/>
  </r>
  <r>
    <x v="0"/>
    <d v="2021-04-20T00:00:00"/>
    <x v="2"/>
    <x v="0"/>
    <n v="2"/>
    <x v="12"/>
    <x v="2"/>
  </r>
  <r>
    <x v="0"/>
    <d v="2021-04-20T00:00:00"/>
    <x v="2"/>
    <x v="1"/>
    <n v="1"/>
    <x v="12"/>
    <x v="2"/>
  </r>
  <r>
    <x v="0"/>
    <d v="2021-04-20T00:00:00"/>
    <x v="2"/>
    <x v="0"/>
    <n v="1"/>
    <x v="12"/>
    <x v="2"/>
  </r>
  <r>
    <x v="0"/>
    <d v="2021-04-22T00:00:00"/>
    <x v="2"/>
    <x v="1"/>
    <n v="1"/>
    <x v="13"/>
    <x v="0"/>
  </r>
  <r>
    <x v="0"/>
    <d v="2021-04-22T00:00:00"/>
    <x v="2"/>
    <x v="0"/>
    <n v="2"/>
    <x v="13"/>
    <x v="0"/>
  </r>
  <r>
    <x v="0"/>
    <d v="2021-04-22T00:00:00"/>
    <x v="2"/>
    <x v="1"/>
    <n v="2"/>
    <x v="13"/>
    <x v="0"/>
  </r>
  <r>
    <x v="0"/>
    <d v="2021-04-23T00:00:00"/>
    <x v="2"/>
    <x v="0"/>
    <n v="1"/>
    <x v="14"/>
    <x v="4"/>
  </r>
  <r>
    <x v="0"/>
    <d v="2021-04-23T00:00:00"/>
    <x v="2"/>
    <x v="1"/>
    <n v="2"/>
    <x v="14"/>
    <x v="4"/>
  </r>
  <r>
    <x v="0"/>
    <d v="2021-04-23T00:00:00"/>
    <x v="2"/>
    <x v="0"/>
    <n v="2"/>
    <x v="14"/>
    <x v="4"/>
  </r>
  <r>
    <x v="0"/>
    <d v="2021-04-26T00:00:00"/>
    <x v="2"/>
    <x v="1"/>
    <n v="1"/>
    <x v="15"/>
    <x v="1"/>
  </r>
  <r>
    <x v="0"/>
    <d v="2021-04-26T00:00:00"/>
    <x v="2"/>
    <x v="0"/>
    <n v="1"/>
    <x v="15"/>
    <x v="1"/>
  </r>
  <r>
    <x v="0"/>
    <d v="2021-04-26T00:00:00"/>
    <x v="2"/>
    <x v="1"/>
    <n v="2"/>
    <x v="15"/>
    <x v="1"/>
  </r>
  <r>
    <x v="0"/>
    <d v="2021-04-27T00:00:00"/>
    <x v="2"/>
    <x v="0"/>
    <n v="2"/>
    <x v="16"/>
    <x v="2"/>
  </r>
  <r>
    <x v="0"/>
    <d v="2021-04-27T00:00:00"/>
    <x v="2"/>
    <x v="1"/>
    <n v="1"/>
    <x v="16"/>
    <x v="2"/>
  </r>
  <r>
    <x v="0"/>
    <d v="2021-04-27T00:00:00"/>
    <x v="2"/>
    <x v="0"/>
    <n v="2"/>
    <x v="16"/>
    <x v="2"/>
  </r>
  <r>
    <x v="0"/>
    <d v="2021-04-28T00:00:00"/>
    <x v="2"/>
    <x v="1"/>
    <n v="2"/>
    <x v="17"/>
    <x v="3"/>
  </r>
  <r>
    <x v="0"/>
    <d v="2021-04-28T00:00:00"/>
    <x v="2"/>
    <x v="0"/>
    <n v="2"/>
    <x v="17"/>
    <x v="3"/>
  </r>
  <r>
    <x v="0"/>
    <d v="2021-04-28T00:00:00"/>
    <x v="2"/>
    <x v="1"/>
    <n v="1"/>
    <x v="17"/>
    <x v="3"/>
  </r>
  <r>
    <x v="0"/>
    <d v="2021-04-29T00:00:00"/>
    <x v="2"/>
    <x v="0"/>
    <n v="1"/>
    <x v="18"/>
    <x v="0"/>
  </r>
  <r>
    <x v="0"/>
    <d v="2021-04-29T00:00:00"/>
    <x v="2"/>
    <x v="1"/>
    <n v="1"/>
    <x v="18"/>
    <x v="0"/>
  </r>
  <r>
    <x v="0"/>
    <d v="2021-04-29T00:00:00"/>
    <x v="2"/>
    <x v="0"/>
    <n v="1"/>
    <x v="18"/>
    <x v="0"/>
  </r>
  <r>
    <x v="0"/>
    <d v="2021-04-30T00:00:00"/>
    <x v="2"/>
    <x v="1"/>
    <n v="1"/>
    <x v="19"/>
    <x v="4"/>
  </r>
  <r>
    <x v="0"/>
    <d v="2021-04-30T00:00:00"/>
    <x v="2"/>
    <x v="0"/>
    <n v="2"/>
    <x v="19"/>
    <x v="4"/>
  </r>
  <r>
    <x v="0"/>
    <d v="2021-04-30T00:00:00"/>
    <x v="2"/>
    <x v="1"/>
    <n v="1"/>
    <x v="19"/>
    <x v="4"/>
  </r>
  <r>
    <x v="0"/>
    <d v="2021-04-30T00:00:00"/>
    <x v="2"/>
    <x v="0"/>
    <n v="1"/>
    <x v="19"/>
    <x v="4"/>
  </r>
  <r>
    <x v="0"/>
    <d v="2021-04-01T00:00:00"/>
    <x v="3"/>
    <x v="1"/>
    <n v="1"/>
    <x v="0"/>
    <x v="0"/>
  </r>
  <r>
    <x v="0"/>
    <d v="2021-04-05T00:00:00"/>
    <x v="3"/>
    <x v="0"/>
    <n v="2"/>
    <x v="1"/>
    <x v="1"/>
  </r>
  <r>
    <x v="0"/>
    <d v="2021-04-06T00:00:00"/>
    <x v="3"/>
    <x v="1"/>
    <n v="2"/>
    <x v="2"/>
    <x v="2"/>
  </r>
  <r>
    <x v="0"/>
    <d v="2021-04-07T00:00:00"/>
    <x v="3"/>
    <x v="0"/>
    <n v="2"/>
    <x v="3"/>
    <x v="3"/>
  </r>
  <r>
    <x v="0"/>
    <d v="2021-04-08T00:00:00"/>
    <x v="3"/>
    <x v="1"/>
    <n v="2"/>
    <x v="4"/>
    <x v="0"/>
  </r>
  <r>
    <x v="0"/>
    <d v="2021-04-09T00:00:00"/>
    <x v="3"/>
    <x v="0"/>
    <n v="1"/>
    <x v="5"/>
    <x v="4"/>
  </r>
  <r>
    <x v="0"/>
    <d v="2021-04-12T00:00:00"/>
    <x v="3"/>
    <x v="1"/>
    <n v="1"/>
    <x v="6"/>
    <x v="1"/>
  </r>
  <r>
    <x v="0"/>
    <d v="2021-04-13T00:00:00"/>
    <x v="3"/>
    <x v="0"/>
    <n v="2"/>
    <x v="7"/>
    <x v="2"/>
  </r>
  <r>
    <x v="0"/>
    <d v="2021-04-14T00:00:00"/>
    <x v="3"/>
    <x v="1"/>
    <n v="2"/>
    <x v="8"/>
    <x v="3"/>
  </r>
  <r>
    <x v="0"/>
    <d v="2021-04-15T00:00:00"/>
    <x v="3"/>
    <x v="0"/>
    <n v="2"/>
    <x v="9"/>
    <x v="0"/>
  </r>
  <r>
    <x v="0"/>
    <d v="2021-04-16T00:00:00"/>
    <x v="3"/>
    <x v="1"/>
    <n v="1"/>
    <x v="10"/>
    <x v="4"/>
  </r>
  <r>
    <x v="0"/>
    <d v="2021-04-19T00:00:00"/>
    <x v="3"/>
    <x v="0"/>
    <n v="1"/>
    <x v="11"/>
    <x v="1"/>
  </r>
  <r>
    <x v="0"/>
    <d v="2021-04-22T00:00:00"/>
    <x v="3"/>
    <x v="1"/>
    <n v="2"/>
    <x v="13"/>
    <x v="0"/>
  </r>
  <r>
    <x v="0"/>
    <d v="2021-04-23T00:00:00"/>
    <x v="3"/>
    <x v="0"/>
    <n v="1"/>
    <x v="14"/>
    <x v="4"/>
  </r>
  <r>
    <x v="0"/>
    <d v="2021-04-26T00:00:00"/>
    <x v="3"/>
    <x v="1"/>
    <n v="1"/>
    <x v="15"/>
    <x v="1"/>
  </r>
  <r>
    <x v="0"/>
    <d v="2021-04-27T00:00:00"/>
    <x v="3"/>
    <x v="0"/>
    <n v="2"/>
    <x v="16"/>
    <x v="2"/>
  </r>
  <r>
    <x v="0"/>
    <d v="2021-04-28T00:00:00"/>
    <x v="3"/>
    <x v="1"/>
    <n v="2"/>
    <x v="17"/>
    <x v="3"/>
  </r>
  <r>
    <x v="0"/>
    <d v="2021-04-29T00:00:00"/>
    <x v="3"/>
    <x v="0"/>
    <n v="2"/>
    <x v="18"/>
    <x v="0"/>
  </r>
  <r>
    <x v="0"/>
    <d v="2021-04-30T00:00:00"/>
    <x v="3"/>
    <x v="1"/>
    <n v="1"/>
    <x v="19"/>
    <x v="4"/>
  </r>
  <r>
    <x v="0"/>
    <d v="2021-04-01T00:00:00"/>
    <x v="4"/>
    <x v="0"/>
    <n v="2"/>
    <x v="0"/>
    <x v="0"/>
  </r>
  <r>
    <x v="0"/>
    <d v="2021-04-05T00:00:00"/>
    <x v="4"/>
    <x v="1"/>
    <n v="2"/>
    <x v="1"/>
    <x v="1"/>
  </r>
  <r>
    <x v="0"/>
    <d v="2021-04-05T00:00:00"/>
    <x v="4"/>
    <x v="0"/>
    <n v="2"/>
    <x v="1"/>
    <x v="1"/>
  </r>
  <r>
    <x v="0"/>
    <d v="2021-04-06T00:00:00"/>
    <x v="4"/>
    <x v="1"/>
    <n v="2"/>
    <x v="2"/>
    <x v="2"/>
  </r>
  <r>
    <x v="0"/>
    <d v="2021-04-06T00:00:00"/>
    <x v="4"/>
    <x v="0"/>
    <n v="2"/>
    <x v="2"/>
    <x v="2"/>
  </r>
  <r>
    <x v="0"/>
    <d v="2021-04-07T00:00:00"/>
    <x v="4"/>
    <x v="1"/>
    <n v="2"/>
    <x v="3"/>
    <x v="3"/>
  </r>
  <r>
    <x v="0"/>
    <d v="2021-04-07T00:00:00"/>
    <x v="4"/>
    <x v="0"/>
    <n v="2"/>
    <x v="3"/>
    <x v="3"/>
  </r>
  <r>
    <x v="0"/>
    <d v="2021-04-07T00:00:00"/>
    <x v="4"/>
    <x v="1"/>
    <n v="1"/>
    <x v="3"/>
    <x v="3"/>
  </r>
  <r>
    <x v="0"/>
    <d v="2021-04-08T00:00:00"/>
    <x v="4"/>
    <x v="0"/>
    <n v="1"/>
    <x v="4"/>
    <x v="0"/>
  </r>
  <r>
    <x v="0"/>
    <d v="2021-04-08T00:00:00"/>
    <x v="4"/>
    <x v="1"/>
    <n v="1"/>
    <x v="4"/>
    <x v="0"/>
  </r>
  <r>
    <x v="0"/>
    <d v="2021-04-08T00:00:00"/>
    <x v="4"/>
    <x v="0"/>
    <n v="1"/>
    <x v="4"/>
    <x v="0"/>
  </r>
  <r>
    <x v="0"/>
    <d v="2021-04-09T00:00:00"/>
    <x v="4"/>
    <x v="1"/>
    <n v="2"/>
    <x v="5"/>
    <x v="4"/>
  </r>
  <r>
    <x v="0"/>
    <d v="2021-04-09T00:00:00"/>
    <x v="4"/>
    <x v="0"/>
    <n v="1"/>
    <x v="5"/>
    <x v="4"/>
  </r>
  <r>
    <x v="0"/>
    <d v="2021-04-09T00:00:00"/>
    <x v="4"/>
    <x v="1"/>
    <n v="2"/>
    <x v="5"/>
    <x v="4"/>
  </r>
  <r>
    <x v="0"/>
    <d v="2021-04-12T00:00:00"/>
    <x v="4"/>
    <x v="0"/>
    <n v="2"/>
    <x v="6"/>
    <x v="1"/>
  </r>
  <r>
    <x v="0"/>
    <d v="2021-04-12T00:00:00"/>
    <x v="4"/>
    <x v="1"/>
    <n v="1"/>
    <x v="6"/>
    <x v="1"/>
  </r>
  <r>
    <x v="0"/>
    <d v="2021-04-12T00:00:00"/>
    <x v="4"/>
    <x v="0"/>
    <n v="1"/>
    <x v="6"/>
    <x v="1"/>
  </r>
  <r>
    <x v="0"/>
    <d v="2021-04-13T00:00:00"/>
    <x v="4"/>
    <x v="1"/>
    <n v="2"/>
    <x v="7"/>
    <x v="2"/>
  </r>
  <r>
    <x v="0"/>
    <d v="2021-04-13T00:00:00"/>
    <x v="4"/>
    <x v="0"/>
    <n v="2"/>
    <x v="7"/>
    <x v="2"/>
  </r>
  <r>
    <x v="0"/>
    <d v="2021-04-13T00:00:00"/>
    <x v="4"/>
    <x v="1"/>
    <n v="2"/>
    <x v="7"/>
    <x v="2"/>
  </r>
  <r>
    <x v="0"/>
    <d v="2021-04-14T00:00:00"/>
    <x v="4"/>
    <x v="0"/>
    <n v="2"/>
    <x v="8"/>
    <x v="3"/>
  </r>
  <r>
    <x v="0"/>
    <d v="2021-04-14T00:00:00"/>
    <x v="4"/>
    <x v="1"/>
    <n v="1"/>
    <x v="8"/>
    <x v="3"/>
  </r>
  <r>
    <x v="0"/>
    <d v="2021-04-14T00:00:00"/>
    <x v="4"/>
    <x v="0"/>
    <n v="2"/>
    <x v="8"/>
    <x v="3"/>
  </r>
  <r>
    <x v="0"/>
    <d v="2021-04-15T00:00:00"/>
    <x v="4"/>
    <x v="1"/>
    <n v="1"/>
    <x v="9"/>
    <x v="0"/>
  </r>
  <r>
    <x v="0"/>
    <d v="2021-04-15T00:00:00"/>
    <x v="4"/>
    <x v="0"/>
    <n v="1"/>
    <x v="9"/>
    <x v="0"/>
  </r>
  <r>
    <x v="0"/>
    <d v="2021-04-15T00:00:00"/>
    <x v="4"/>
    <x v="1"/>
    <n v="2"/>
    <x v="9"/>
    <x v="0"/>
  </r>
  <r>
    <x v="0"/>
    <d v="2021-04-16T00:00:00"/>
    <x v="4"/>
    <x v="0"/>
    <n v="2"/>
    <x v="10"/>
    <x v="4"/>
  </r>
  <r>
    <x v="0"/>
    <d v="2021-04-16T00:00:00"/>
    <x v="4"/>
    <x v="1"/>
    <n v="2"/>
    <x v="10"/>
    <x v="4"/>
  </r>
  <r>
    <x v="0"/>
    <d v="2021-04-19T00:00:00"/>
    <x v="4"/>
    <x v="0"/>
    <n v="1"/>
    <x v="11"/>
    <x v="1"/>
  </r>
  <r>
    <x v="0"/>
    <d v="2021-04-19T00:00:00"/>
    <x v="4"/>
    <x v="1"/>
    <n v="2"/>
    <x v="11"/>
    <x v="1"/>
  </r>
  <r>
    <x v="0"/>
    <d v="2021-04-19T00:00:00"/>
    <x v="4"/>
    <x v="0"/>
    <n v="1"/>
    <x v="11"/>
    <x v="1"/>
  </r>
  <r>
    <x v="0"/>
    <d v="2021-04-20T00:00:00"/>
    <x v="4"/>
    <x v="1"/>
    <n v="1"/>
    <x v="12"/>
    <x v="2"/>
  </r>
  <r>
    <x v="0"/>
    <d v="2021-04-20T00:00:00"/>
    <x v="4"/>
    <x v="0"/>
    <n v="1"/>
    <x v="12"/>
    <x v="2"/>
  </r>
  <r>
    <x v="0"/>
    <d v="2021-04-20T00:00:00"/>
    <x v="4"/>
    <x v="1"/>
    <n v="1"/>
    <x v="12"/>
    <x v="2"/>
  </r>
  <r>
    <x v="0"/>
    <d v="2021-04-22T00:00:00"/>
    <x v="4"/>
    <x v="0"/>
    <n v="1"/>
    <x v="13"/>
    <x v="0"/>
  </r>
  <r>
    <x v="0"/>
    <d v="2021-04-23T00:00:00"/>
    <x v="4"/>
    <x v="1"/>
    <n v="2"/>
    <x v="14"/>
    <x v="4"/>
  </r>
  <r>
    <x v="0"/>
    <d v="2021-04-26T00:00:00"/>
    <x v="4"/>
    <x v="0"/>
    <n v="2"/>
    <x v="15"/>
    <x v="1"/>
  </r>
  <r>
    <x v="0"/>
    <d v="2021-04-26T00:00:00"/>
    <x v="4"/>
    <x v="1"/>
    <n v="2"/>
    <x v="15"/>
    <x v="1"/>
  </r>
  <r>
    <x v="0"/>
    <d v="2021-04-27T00:00:00"/>
    <x v="4"/>
    <x v="0"/>
    <n v="1"/>
    <x v="16"/>
    <x v="2"/>
  </r>
  <r>
    <x v="0"/>
    <d v="2021-04-27T00:00:00"/>
    <x v="4"/>
    <x v="1"/>
    <n v="2"/>
    <x v="16"/>
    <x v="2"/>
  </r>
  <r>
    <x v="0"/>
    <d v="2021-04-27T00:00:00"/>
    <x v="4"/>
    <x v="0"/>
    <n v="1"/>
    <x v="16"/>
    <x v="2"/>
  </r>
  <r>
    <x v="0"/>
    <d v="2021-04-28T00:00:00"/>
    <x v="4"/>
    <x v="1"/>
    <n v="1"/>
    <x v="17"/>
    <x v="3"/>
  </r>
  <r>
    <x v="0"/>
    <d v="2021-04-29T00:00:00"/>
    <x v="4"/>
    <x v="0"/>
    <n v="2"/>
    <x v="18"/>
    <x v="0"/>
  </r>
  <r>
    <x v="0"/>
    <d v="2021-04-29T00:00:00"/>
    <x v="4"/>
    <x v="1"/>
    <n v="2"/>
    <x v="18"/>
    <x v="0"/>
  </r>
  <r>
    <x v="0"/>
    <d v="2021-04-29T00:00:00"/>
    <x v="4"/>
    <x v="0"/>
    <n v="1"/>
    <x v="18"/>
    <x v="0"/>
  </r>
  <r>
    <x v="0"/>
    <d v="2021-04-30T00:00:00"/>
    <x v="4"/>
    <x v="1"/>
    <n v="2"/>
    <x v="19"/>
    <x v="4"/>
  </r>
  <r>
    <x v="0"/>
    <d v="2021-04-30T00:00:00"/>
    <x v="4"/>
    <x v="0"/>
    <n v="2"/>
    <x v="19"/>
    <x v="4"/>
  </r>
  <r>
    <x v="0"/>
    <d v="2021-04-30T00:00:00"/>
    <x v="4"/>
    <x v="1"/>
    <n v="2"/>
    <x v="19"/>
    <x v="4"/>
  </r>
  <r>
    <x v="0"/>
    <d v="2021-04-30T00:00:00"/>
    <x v="4"/>
    <x v="0"/>
    <n v="1"/>
    <x v="19"/>
    <x v="4"/>
  </r>
  <r>
    <x v="0"/>
    <d v="2021-04-01T00:00:00"/>
    <x v="5"/>
    <x v="1"/>
    <n v="1"/>
    <x v="0"/>
    <x v="0"/>
  </r>
  <r>
    <x v="0"/>
    <d v="2021-04-05T00:00:00"/>
    <x v="5"/>
    <x v="0"/>
    <n v="1"/>
    <x v="1"/>
    <x v="1"/>
  </r>
  <r>
    <x v="0"/>
    <d v="2021-04-06T00:00:00"/>
    <x v="5"/>
    <x v="1"/>
    <n v="1"/>
    <x v="2"/>
    <x v="2"/>
  </r>
  <r>
    <x v="0"/>
    <d v="2021-04-07T00:00:00"/>
    <x v="5"/>
    <x v="0"/>
    <n v="2"/>
    <x v="3"/>
    <x v="3"/>
  </r>
  <r>
    <x v="0"/>
    <d v="2021-04-08T00:00:00"/>
    <x v="5"/>
    <x v="1"/>
    <n v="2"/>
    <x v="4"/>
    <x v="0"/>
  </r>
  <r>
    <x v="0"/>
    <d v="2021-04-09T00:00:00"/>
    <x v="5"/>
    <x v="0"/>
    <n v="2"/>
    <x v="5"/>
    <x v="4"/>
  </r>
  <r>
    <x v="0"/>
    <d v="2021-04-09T00:00:00"/>
    <x v="5"/>
    <x v="1"/>
    <n v="2"/>
    <x v="5"/>
    <x v="4"/>
  </r>
  <r>
    <x v="0"/>
    <d v="2021-04-12T00:00:00"/>
    <x v="5"/>
    <x v="0"/>
    <n v="1"/>
    <x v="6"/>
    <x v="1"/>
  </r>
  <r>
    <x v="0"/>
    <d v="2021-04-12T00:00:00"/>
    <x v="5"/>
    <x v="1"/>
    <n v="1"/>
    <x v="6"/>
    <x v="1"/>
  </r>
  <r>
    <x v="0"/>
    <d v="2021-04-13T00:00:00"/>
    <x v="5"/>
    <x v="0"/>
    <n v="1"/>
    <x v="7"/>
    <x v="2"/>
  </r>
  <r>
    <x v="0"/>
    <d v="2021-04-13T00:00:00"/>
    <x v="5"/>
    <x v="1"/>
    <n v="2"/>
    <x v="7"/>
    <x v="2"/>
  </r>
  <r>
    <x v="0"/>
    <d v="2021-04-14T00:00:00"/>
    <x v="5"/>
    <x v="0"/>
    <n v="2"/>
    <x v="8"/>
    <x v="3"/>
  </r>
  <r>
    <x v="0"/>
    <d v="2021-04-14T00:00:00"/>
    <x v="5"/>
    <x v="1"/>
    <n v="2"/>
    <x v="8"/>
    <x v="3"/>
  </r>
  <r>
    <x v="0"/>
    <d v="2021-04-14T00:00:00"/>
    <x v="5"/>
    <x v="0"/>
    <n v="2"/>
    <x v="8"/>
    <x v="3"/>
  </r>
  <r>
    <x v="0"/>
    <d v="2021-04-15T00:00:00"/>
    <x v="5"/>
    <x v="1"/>
    <n v="1"/>
    <x v="9"/>
    <x v="0"/>
  </r>
  <r>
    <x v="0"/>
    <d v="2021-04-15T00:00:00"/>
    <x v="5"/>
    <x v="0"/>
    <n v="2"/>
    <x v="9"/>
    <x v="0"/>
  </r>
  <r>
    <x v="0"/>
    <d v="2021-04-16T00:00:00"/>
    <x v="5"/>
    <x v="1"/>
    <n v="2"/>
    <x v="10"/>
    <x v="4"/>
  </r>
  <r>
    <x v="0"/>
    <d v="2021-04-16T00:00:00"/>
    <x v="5"/>
    <x v="0"/>
    <n v="2"/>
    <x v="10"/>
    <x v="4"/>
  </r>
  <r>
    <x v="0"/>
    <d v="2021-04-17T00:00:00"/>
    <x v="5"/>
    <x v="1"/>
    <n v="1"/>
    <x v="20"/>
    <x v="5"/>
  </r>
  <r>
    <x v="0"/>
    <d v="2021-04-19T00:00:00"/>
    <x v="5"/>
    <x v="0"/>
    <n v="1"/>
    <x v="11"/>
    <x v="1"/>
  </r>
  <r>
    <x v="0"/>
    <d v="2021-04-20T00:00:00"/>
    <x v="5"/>
    <x v="1"/>
    <n v="2"/>
    <x v="12"/>
    <x v="2"/>
  </r>
  <r>
    <x v="0"/>
    <d v="2021-04-20T00:00:00"/>
    <x v="5"/>
    <x v="0"/>
    <n v="2"/>
    <x v="12"/>
    <x v="2"/>
  </r>
  <r>
    <x v="0"/>
    <d v="2021-04-20T00:00:00"/>
    <x v="5"/>
    <x v="1"/>
    <n v="2"/>
    <x v="12"/>
    <x v="2"/>
  </r>
  <r>
    <x v="0"/>
    <d v="2021-04-22T00:00:00"/>
    <x v="5"/>
    <x v="0"/>
    <n v="1"/>
    <x v="13"/>
    <x v="0"/>
  </r>
  <r>
    <x v="0"/>
    <d v="2021-04-22T00:00:00"/>
    <x v="5"/>
    <x v="1"/>
    <n v="2"/>
    <x v="13"/>
    <x v="0"/>
  </r>
  <r>
    <x v="0"/>
    <d v="2021-04-23T00:00:00"/>
    <x v="5"/>
    <x v="0"/>
    <n v="2"/>
    <x v="14"/>
    <x v="4"/>
  </r>
  <r>
    <x v="0"/>
    <d v="2021-04-23T00:00:00"/>
    <x v="5"/>
    <x v="1"/>
    <n v="1"/>
    <x v="14"/>
    <x v="4"/>
  </r>
  <r>
    <x v="0"/>
    <d v="2021-04-26T00:00:00"/>
    <x v="5"/>
    <x v="0"/>
    <n v="2"/>
    <x v="15"/>
    <x v="1"/>
  </r>
  <r>
    <x v="0"/>
    <d v="2021-04-26T00:00:00"/>
    <x v="5"/>
    <x v="1"/>
    <n v="1"/>
    <x v="15"/>
    <x v="1"/>
  </r>
  <r>
    <x v="0"/>
    <d v="2021-04-27T00:00:00"/>
    <x v="5"/>
    <x v="0"/>
    <n v="2"/>
    <x v="16"/>
    <x v="2"/>
  </r>
  <r>
    <x v="0"/>
    <d v="2021-04-27T00:00:00"/>
    <x v="5"/>
    <x v="1"/>
    <n v="2"/>
    <x v="16"/>
    <x v="2"/>
  </r>
  <r>
    <x v="0"/>
    <d v="2021-04-28T00:00:00"/>
    <x v="5"/>
    <x v="0"/>
    <n v="1"/>
    <x v="17"/>
    <x v="3"/>
  </r>
  <r>
    <x v="0"/>
    <d v="2021-04-28T00:00:00"/>
    <x v="5"/>
    <x v="1"/>
    <n v="2"/>
    <x v="17"/>
    <x v="3"/>
  </r>
  <r>
    <x v="0"/>
    <d v="2021-04-29T00:00:00"/>
    <x v="5"/>
    <x v="0"/>
    <n v="2"/>
    <x v="18"/>
    <x v="0"/>
  </r>
  <r>
    <x v="0"/>
    <d v="2021-04-29T00:00:00"/>
    <x v="5"/>
    <x v="1"/>
    <n v="2"/>
    <x v="18"/>
    <x v="0"/>
  </r>
  <r>
    <x v="0"/>
    <d v="2021-04-30T00:00:00"/>
    <x v="5"/>
    <x v="0"/>
    <n v="1"/>
    <x v="19"/>
    <x v="4"/>
  </r>
  <r>
    <x v="0"/>
    <d v="2021-04-30T00:00:00"/>
    <x v="5"/>
    <x v="1"/>
    <n v="2"/>
    <x v="19"/>
    <x v="4"/>
  </r>
  <r>
    <x v="0"/>
    <d v="2021-04-30T00:00:00"/>
    <x v="5"/>
    <x v="0"/>
    <n v="2"/>
    <x v="19"/>
    <x v="4"/>
  </r>
  <r>
    <x v="0"/>
    <d v="2021-04-01T00:00:00"/>
    <x v="6"/>
    <x v="1"/>
    <n v="2"/>
    <x v="0"/>
    <x v="0"/>
  </r>
  <r>
    <x v="0"/>
    <d v="2021-04-01T00:00:00"/>
    <x v="6"/>
    <x v="0"/>
    <n v="1"/>
    <x v="0"/>
    <x v="0"/>
  </r>
  <r>
    <x v="0"/>
    <d v="2021-04-05T00:00:00"/>
    <x v="6"/>
    <x v="1"/>
    <n v="1"/>
    <x v="1"/>
    <x v="1"/>
  </r>
  <r>
    <x v="0"/>
    <d v="2021-04-06T00:00:00"/>
    <x v="6"/>
    <x v="0"/>
    <n v="2"/>
    <x v="2"/>
    <x v="2"/>
  </r>
  <r>
    <x v="0"/>
    <d v="2021-04-07T00:00:00"/>
    <x v="6"/>
    <x v="1"/>
    <n v="2"/>
    <x v="3"/>
    <x v="3"/>
  </r>
  <r>
    <x v="0"/>
    <d v="2021-04-08T00:00:00"/>
    <x v="6"/>
    <x v="0"/>
    <n v="1"/>
    <x v="4"/>
    <x v="0"/>
  </r>
  <r>
    <x v="0"/>
    <d v="2021-04-09T00:00:00"/>
    <x v="6"/>
    <x v="1"/>
    <n v="1"/>
    <x v="5"/>
    <x v="4"/>
  </r>
  <r>
    <x v="0"/>
    <d v="2021-04-09T00:00:00"/>
    <x v="6"/>
    <x v="0"/>
    <n v="2"/>
    <x v="5"/>
    <x v="4"/>
  </r>
  <r>
    <x v="0"/>
    <d v="2021-04-09T00:00:00"/>
    <x v="6"/>
    <x v="1"/>
    <n v="2"/>
    <x v="5"/>
    <x v="4"/>
  </r>
  <r>
    <x v="0"/>
    <d v="2021-04-12T00:00:00"/>
    <x v="6"/>
    <x v="0"/>
    <n v="1"/>
    <x v="6"/>
    <x v="1"/>
  </r>
  <r>
    <x v="0"/>
    <d v="2021-04-12T00:00:00"/>
    <x v="6"/>
    <x v="1"/>
    <n v="1"/>
    <x v="6"/>
    <x v="1"/>
  </r>
  <r>
    <x v="0"/>
    <d v="2021-04-12T00:00:00"/>
    <x v="6"/>
    <x v="0"/>
    <n v="2"/>
    <x v="6"/>
    <x v="1"/>
  </r>
  <r>
    <x v="0"/>
    <d v="2021-04-13T00:00:00"/>
    <x v="6"/>
    <x v="1"/>
    <n v="2"/>
    <x v="7"/>
    <x v="2"/>
  </r>
  <r>
    <x v="0"/>
    <d v="2021-04-13T00:00:00"/>
    <x v="6"/>
    <x v="0"/>
    <n v="1"/>
    <x v="7"/>
    <x v="2"/>
  </r>
  <r>
    <x v="0"/>
    <d v="2021-04-13T00:00:00"/>
    <x v="6"/>
    <x v="1"/>
    <n v="1"/>
    <x v="7"/>
    <x v="2"/>
  </r>
  <r>
    <x v="0"/>
    <d v="2021-04-14T00:00:00"/>
    <x v="6"/>
    <x v="0"/>
    <n v="2"/>
    <x v="8"/>
    <x v="3"/>
  </r>
  <r>
    <x v="0"/>
    <d v="2021-04-14T00:00:00"/>
    <x v="6"/>
    <x v="1"/>
    <n v="2"/>
    <x v="8"/>
    <x v="3"/>
  </r>
  <r>
    <x v="0"/>
    <d v="2021-04-14T00:00:00"/>
    <x v="6"/>
    <x v="0"/>
    <n v="2"/>
    <x v="8"/>
    <x v="3"/>
  </r>
  <r>
    <x v="0"/>
    <d v="2021-04-15T00:00:00"/>
    <x v="6"/>
    <x v="1"/>
    <n v="2"/>
    <x v="9"/>
    <x v="0"/>
  </r>
  <r>
    <x v="0"/>
    <d v="2021-04-15T00:00:00"/>
    <x v="6"/>
    <x v="0"/>
    <n v="1"/>
    <x v="9"/>
    <x v="0"/>
  </r>
  <r>
    <x v="0"/>
    <d v="2021-04-16T00:00:00"/>
    <x v="6"/>
    <x v="1"/>
    <n v="2"/>
    <x v="10"/>
    <x v="4"/>
  </r>
  <r>
    <x v="0"/>
    <d v="2021-04-16T00:00:00"/>
    <x v="6"/>
    <x v="0"/>
    <n v="2"/>
    <x v="10"/>
    <x v="4"/>
  </r>
  <r>
    <x v="0"/>
    <d v="2021-04-16T00:00:00"/>
    <x v="6"/>
    <x v="1"/>
    <n v="2"/>
    <x v="10"/>
    <x v="4"/>
  </r>
  <r>
    <x v="0"/>
    <d v="2021-04-19T00:00:00"/>
    <x v="6"/>
    <x v="0"/>
    <n v="1"/>
    <x v="11"/>
    <x v="1"/>
  </r>
  <r>
    <x v="0"/>
    <d v="2021-04-19T00:00:00"/>
    <x v="6"/>
    <x v="1"/>
    <n v="1"/>
    <x v="11"/>
    <x v="1"/>
  </r>
  <r>
    <x v="0"/>
    <d v="2021-04-19T00:00:00"/>
    <x v="6"/>
    <x v="0"/>
    <n v="2"/>
    <x v="11"/>
    <x v="1"/>
  </r>
  <r>
    <x v="0"/>
    <d v="2021-04-20T00:00:00"/>
    <x v="6"/>
    <x v="1"/>
    <n v="2"/>
    <x v="12"/>
    <x v="2"/>
  </r>
  <r>
    <x v="0"/>
    <d v="2021-04-20T00:00:00"/>
    <x v="6"/>
    <x v="0"/>
    <n v="2"/>
    <x v="12"/>
    <x v="2"/>
  </r>
  <r>
    <x v="0"/>
    <d v="2021-04-20T00:00:00"/>
    <x v="6"/>
    <x v="1"/>
    <n v="2"/>
    <x v="12"/>
    <x v="2"/>
  </r>
  <r>
    <x v="0"/>
    <d v="2021-04-22T00:00:00"/>
    <x v="6"/>
    <x v="0"/>
    <n v="2"/>
    <x v="13"/>
    <x v="0"/>
  </r>
  <r>
    <x v="0"/>
    <d v="2021-04-22T00:00:00"/>
    <x v="6"/>
    <x v="1"/>
    <n v="1"/>
    <x v="13"/>
    <x v="0"/>
  </r>
  <r>
    <x v="0"/>
    <d v="2021-04-22T00:00:00"/>
    <x v="6"/>
    <x v="0"/>
    <n v="1"/>
    <x v="13"/>
    <x v="0"/>
  </r>
  <r>
    <x v="0"/>
    <d v="2021-04-23T00:00:00"/>
    <x v="6"/>
    <x v="1"/>
    <n v="2"/>
    <x v="14"/>
    <x v="4"/>
  </r>
  <r>
    <x v="0"/>
    <d v="2021-04-23T00:00:00"/>
    <x v="6"/>
    <x v="0"/>
    <n v="1"/>
    <x v="14"/>
    <x v="4"/>
  </r>
  <r>
    <x v="0"/>
    <d v="2021-04-23T00:00:00"/>
    <x v="6"/>
    <x v="1"/>
    <n v="1"/>
    <x v="14"/>
    <x v="4"/>
  </r>
  <r>
    <x v="0"/>
    <d v="2021-04-26T00:00:00"/>
    <x v="6"/>
    <x v="0"/>
    <n v="2"/>
    <x v="15"/>
    <x v="1"/>
  </r>
  <r>
    <x v="0"/>
    <d v="2021-04-26T00:00:00"/>
    <x v="6"/>
    <x v="1"/>
    <n v="2"/>
    <x v="15"/>
    <x v="1"/>
  </r>
  <r>
    <x v="0"/>
    <d v="2021-04-26T00:00:00"/>
    <x v="6"/>
    <x v="0"/>
    <n v="2"/>
    <x v="15"/>
    <x v="1"/>
  </r>
  <r>
    <x v="0"/>
    <d v="2021-04-27T00:00:00"/>
    <x v="6"/>
    <x v="1"/>
    <n v="2"/>
    <x v="16"/>
    <x v="2"/>
  </r>
  <r>
    <x v="0"/>
    <d v="2021-04-27T00:00:00"/>
    <x v="6"/>
    <x v="0"/>
    <n v="1"/>
    <x v="16"/>
    <x v="2"/>
  </r>
  <r>
    <x v="0"/>
    <d v="2021-04-27T00:00:00"/>
    <x v="6"/>
    <x v="1"/>
    <n v="2"/>
    <x v="16"/>
    <x v="2"/>
  </r>
  <r>
    <x v="0"/>
    <d v="2021-04-28T00:00:00"/>
    <x v="6"/>
    <x v="0"/>
    <n v="1"/>
    <x v="17"/>
    <x v="3"/>
  </r>
  <r>
    <x v="0"/>
    <d v="2021-04-28T00:00:00"/>
    <x v="6"/>
    <x v="1"/>
    <n v="1"/>
    <x v="17"/>
    <x v="3"/>
  </r>
  <r>
    <x v="0"/>
    <d v="2021-04-28T00:00:00"/>
    <x v="6"/>
    <x v="0"/>
    <n v="2"/>
    <x v="17"/>
    <x v="3"/>
  </r>
  <r>
    <x v="0"/>
    <d v="2021-04-29T00:00:00"/>
    <x v="6"/>
    <x v="1"/>
    <n v="1"/>
    <x v="18"/>
    <x v="0"/>
  </r>
  <r>
    <x v="0"/>
    <d v="2021-04-29T00:00:00"/>
    <x v="6"/>
    <x v="0"/>
    <n v="2"/>
    <x v="18"/>
    <x v="0"/>
  </r>
  <r>
    <x v="0"/>
    <d v="2021-04-29T00:00:00"/>
    <x v="6"/>
    <x v="1"/>
    <n v="1"/>
    <x v="18"/>
    <x v="0"/>
  </r>
  <r>
    <x v="0"/>
    <d v="2021-04-30T00:00:00"/>
    <x v="6"/>
    <x v="0"/>
    <n v="1"/>
    <x v="19"/>
    <x v="4"/>
  </r>
  <r>
    <x v="0"/>
    <d v="2021-04-30T00:00:00"/>
    <x v="6"/>
    <x v="1"/>
    <n v="1"/>
    <x v="19"/>
    <x v="4"/>
  </r>
  <r>
    <x v="0"/>
    <d v="2021-04-30T00:00:00"/>
    <x v="6"/>
    <x v="0"/>
    <n v="1"/>
    <x v="19"/>
    <x v="4"/>
  </r>
  <r>
    <x v="0"/>
    <d v="2021-04-01T00:00:00"/>
    <x v="7"/>
    <x v="1"/>
    <n v="1"/>
    <x v="0"/>
    <x v="0"/>
  </r>
  <r>
    <x v="0"/>
    <d v="2021-04-01T00:00:00"/>
    <x v="7"/>
    <x v="0"/>
    <n v="1"/>
    <x v="0"/>
    <x v="0"/>
  </r>
  <r>
    <x v="0"/>
    <d v="2021-04-01T00:00:00"/>
    <x v="7"/>
    <x v="1"/>
    <n v="1"/>
    <x v="0"/>
    <x v="0"/>
  </r>
  <r>
    <x v="0"/>
    <d v="2021-04-03T00:00:00"/>
    <x v="7"/>
    <x v="0"/>
    <n v="1"/>
    <x v="21"/>
    <x v="5"/>
  </r>
  <r>
    <x v="0"/>
    <d v="2021-04-03T00:00:00"/>
    <x v="7"/>
    <x v="1"/>
    <n v="1"/>
    <x v="21"/>
    <x v="5"/>
  </r>
  <r>
    <x v="0"/>
    <d v="2021-04-04T00:00:00"/>
    <x v="7"/>
    <x v="0"/>
    <n v="1"/>
    <x v="22"/>
    <x v="5"/>
  </r>
  <r>
    <x v="0"/>
    <d v="2021-04-05T00:00:00"/>
    <x v="7"/>
    <x v="1"/>
    <n v="1"/>
    <x v="1"/>
    <x v="1"/>
  </r>
  <r>
    <x v="0"/>
    <d v="2021-04-09T00:00:00"/>
    <x v="7"/>
    <x v="0"/>
    <n v="2"/>
    <x v="5"/>
    <x v="4"/>
  </r>
  <r>
    <x v="0"/>
    <d v="2021-04-10T00:00:00"/>
    <x v="7"/>
    <x v="1"/>
    <n v="2"/>
    <x v="23"/>
    <x v="5"/>
  </r>
  <r>
    <x v="0"/>
    <d v="2021-04-11T00:00:00"/>
    <x v="7"/>
    <x v="0"/>
    <n v="2"/>
    <x v="24"/>
    <x v="5"/>
  </r>
  <r>
    <x v="0"/>
    <d v="2021-04-12T00:00:00"/>
    <x v="7"/>
    <x v="1"/>
    <n v="2"/>
    <x v="6"/>
    <x v="1"/>
  </r>
  <r>
    <x v="0"/>
    <d v="2021-04-13T00:00:00"/>
    <x v="7"/>
    <x v="0"/>
    <n v="2"/>
    <x v="7"/>
    <x v="2"/>
  </r>
  <r>
    <x v="0"/>
    <d v="2021-04-14T00:00:00"/>
    <x v="7"/>
    <x v="1"/>
    <n v="1"/>
    <x v="8"/>
    <x v="3"/>
  </r>
  <r>
    <x v="0"/>
    <d v="2021-04-14T00:00:00"/>
    <x v="7"/>
    <x v="0"/>
    <n v="1"/>
    <x v="8"/>
    <x v="3"/>
  </r>
  <r>
    <x v="0"/>
    <d v="2021-04-14T00:00:00"/>
    <x v="7"/>
    <x v="1"/>
    <n v="1"/>
    <x v="8"/>
    <x v="3"/>
  </r>
  <r>
    <x v="0"/>
    <d v="2021-04-18T00:00:00"/>
    <x v="7"/>
    <x v="0"/>
    <n v="1"/>
    <x v="25"/>
    <x v="5"/>
  </r>
  <r>
    <x v="0"/>
    <d v="2021-04-18T00:00:00"/>
    <x v="7"/>
    <x v="1"/>
    <n v="2"/>
    <x v="25"/>
    <x v="5"/>
  </r>
  <r>
    <x v="0"/>
    <d v="2021-04-19T00:00:00"/>
    <x v="7"/>
    <x v="0"/>
    <n v="2"/>
    <x v="11"/>
    <x v="1"/>
  </r>
  <r>
    <x v="0"/>
    <d v="2021-04-20T00:00:00"/>
    <x v="7"/>
    <x v="1"/>
    <n v="2"/>
    <x v="12"/>
    <x v="2"/>
  </r>
  <r>
    <x v="0"/>
    <d v="2021-04-20T00:00:00"/>
    <x v="7"/>
    <x v="0"/>
    <n v="1"/>
    <x v="12"/>
    <x v="2"/>
  </r>
  <r>
    <x v="0"/>
    <d v="2021-04-20T00:00:00"/>
    <x v="7"/>
    <x v="1"/>
    <n v="2"/>
    <x v="12"/>
    <x v="2"/>
  </r>
  <r>
    <x v="0"/>
    <d v="2021-04-21T00:00:00"/>
    <x v="7"/>
    <x v="0"/>
    <n v="2"/>
    <x v="26"/>
    <x v="3"/>
  </r>
  <r>
    <x v="0"/>
    <d v="2021-04-21T00:00:00"/>
    <x v="7"/>
    <x v="1"/>
    <n v="1"/>
    <x v="26"/>
    <x v="3"/>
  </r>
  <r>
    <x v="0"/>
    <d v="2021-04-22T00:00:00"/>
    <x v="7"/>
    <x v="0"/>
    <n v="2"/>
    <x v="13"/>
    <x v="0"/>
  </r>
  <r>
    <x v="0"/>
    <d v="2021-04-22T00:00:00"/>
    <x v="7"/>
    <x v="1"/>
    <n v="2"/>
    <x v="13"/>
    <x v="0"/>
  </r>
  <r>
    <x v="0"/>
    <d v="2021-04-22T00:00:00"/>
    <x v="7"/>
    <x v="0"/>
    <n v="2"/>
    <x v="13"/>
    <x v="0"/>
  </r>
  <r>
    <x v="0"/>
    <d v="2021-04-23T00:00:00"/>
    <x v="7"/>
    <x v="1"/>
    <n v="2"/>
    <x v="14"/>
    <x v="4"/>
  </r>
  <r>
    <x v="0"/>
    <d v="2021-04-27T00:00:00"/>
    <x v="7"/>
    <x v="0"/>
    <n v="1"/>
    <x v="16"/>
    <x v="2"/>
  </r>
  <r>
    <x v="0"/>
    <d v="2021-04-27T00:00:00"/>
    <x v="7"/>
    <x v="1"/>
    <n v="2"/>
    <x v="16"/>
    <x v="2"/>
  </r>
  <r>
    <x v="0"/>
    <d v="2021-04-27T00:00:00"/>
    <x v="7"/>
    <x v="0"/>
    <n v="2"/>
    <x v="16"/>
    <x v="2"/>
  </r>
  <r>
    <x v="0"/>
    <d v="2021-04-28T00:00:00"/>
    <x v="7"/>
    <x v="1"/>
    <n v="2"/>
    <x v="17"/>
    <x v="3"/>
  </r>
  <r>
    <x v="0"/>
    <d v="2021-04-29T00:00:00"/>
    <x v="7"/>
    <x v="0"/>
    <n v="2"/>
    <x v="18"/>
    <x v="0"/>
  </r>
  <r>
    <x v="0"/>
    <d v="2021-04-29T00:00:00"/>
    <x v="7"/>
    <x v="1"/>
    <n v="1"/>
    <x v="18"/>
    <x v="0"/>
  </r>
  <r>
    <x v="0"/>
    <d v="2021-04-29T00:00:00"/>
    <x v="7"/>
    <x v="1"/>
    <n v="2"/>
    <x v="18"/>
    <x v="0"/>
  </r>
  <r>
    <x v="0"/>
    <d v="2021-04-30T00:00:00"/>
    <x v="7"/>
    <x v="1"/>
    <n v="1"/>
    <x v="19"/>
    <x v="4"/>
  </r>
  <r>
    <x v="0"/>
    <d v="2021-04-30T00:00:00"/>
    <x v="7"/>
    <x v="1"/>
    <n v="1"/>
    <x v="19"/>
    <x v="4"/>
  </r>
  <r>
    <x v="0"/>
    <d v="2021-04-30T00:00:00"/>
    <x v="7"/>
    <x v="1"/>
    <n v="1"/>
    <x v="19"/>
    <x v="4"/>
  </r>
  <r>
    <x v="0"/>
    <d v="2021-04-01T00:00:00"/>
    <x v="8"/>
    <x v="1"/>
    <n v="2"/>
    <x v="0"/>
    <x v="0"/>
  </r>
  <r>
    <x v="0"/>
    <d v="2021-04-05T00:00:00"/>
    <x v="8"/>
    <x v="1"/>
    <n v="2"/>
    <x v="1"/>
    <x v="1"/>
  </r>
  <r>
    <x v="0"/>
    <d v="2021-04-06T00:00:00"/>
    <x v="8"/>
    <x v="1"/>
    <n v="2"/>
    <x v="2"/>
    <x v="2"/>
  </r>
  <r>
    <x v="1"/>
    <d v="2021-04-07T00:00:00"/>
    <x v="8"/>
    <x v="1"/>
    <n v="2"/>
    <x v="3"/>
    <x v="3"/>
  </r>
  <r>
    <x v="1"/>
    <d v="2021-04-08T00:00:00"/>
    <x v="8"/>
    <x v="1"/>
    <n v="1"/>
    <x v="4"/>
    <x v="0"/>
  </r>
  <r>
    <x v="1"/>
    <d v="2021-04-09T00:00:00"/>
    <x v="8"/>
    <x v="1"/>
    <n v="1"/>
    <x v="5"/>
    <x v="4"/>
  </r>
  <r>
    <x v="1"/>
    <d v="2021-04-12T00:00:00"/>
    <x v="8"/>
    <x v="1"/>
    <n v="1"/>
    <x v="6"/>
    <x v="1"/>
  </r>
  <r>
    <x v="1"/>
    <d v="2021-04-13T00:00:00"/>
    <x v="8"/>
    <x v="1"/>
    <n v="1"/>
    <x v="7"/>
    <x v="2"/>
  </r>
  <r>
    <x v="1"/>
    <d v="2021-04-13T00:00:00"/>
    <x v="8"/>
    <x v="1"/>
    <n v="1"/>
    <x v="7"/>
    <x v="2"/>
  </r>
  <r>
    <x v="1"/>
    <d v="2021-04-19T00:00:00"/>
    <x v="8"/>
    <x v="1"/>
    <n v="2"/>
    <x v="11"/>
    <x v="1"/>
  </r>
  <r>
    <x v="1"/>
    <d v="2021-04-19T00:00:00"/>
    <x v="8"/>
    <x v="1"/>
    <n v="1"/>
    <x v="11"/>
    <x v="1"/>
  </r>
  <r>
    <x v="1"/>
    <d v="2021-04-23T00:00:00"/>
    <x v="8"/>
    <x v="1"/>
    <n v="1"/>
    <x v="14"/>
    <x v="4"/>
  </r>
  <r>
    <x v="1"/>
    <d v="2021-04-26T00:00:00"/>
    <x v="8"/>
    <x v="1"/>
    <n v="1"/>
    <x v="15"/>
    <x v="1"/>
  </r>
  <r>
    <x v="1"/>
    <d v="2021-04-27T00:00:00"/>
    <x v="8"/>
    <x v="1"/>
    <n v="1"/>
    <x v="16"/>
    <x v="2"/>
  </r>
  <r>
    <x v="1"/>
    <d v="2021-04-28T00:00:00"/>
    <x v="8"/>
    <x v="1"/>
    <n v="2"/>
    <x v="17"/>
    <x v="3"/>
  </r>
  <r>
    <x v="1"/>
    <d v="2021-04-29T00:00:00"/>
    <x v="8"/>
    <x v="1"/>
    <n v="1"/>
    <x v="18"/>
    <x v="0"/>
  </r>
  <r>
    <x v="1"/>
    <d v="2021-04-30T00:00:00"/>
    <x v="8"/>
    <x v="1"/>
    <n v="2"/>
    <x v="19"/>
    <x v="4"/>
  </r>
  <r>
    <x v="1"/>
    <d v="2021-04-30T00:00:00"/>
    <x v="8"/>
    <x v="1"/>
    <n v="1"/>
    <x v="19"/>
    <x v="4"/>
  </r>
  <r>
    <x v="1"/>
    <d v="2021-04-01T00:00:00"/>
    <x v="9"/>
    <x v="1"/>
    <n v="1"/>
    <x v="0"/>
    <x v="0"/>
  </r>
  <r>
    <x v="1"/>
    <d v="2021-04-01T00:00:00"/>
    <x v="9"/>
    <x v="1"/>
    <n v="2"/>
    <x v="0"/>
    <x v="0"/>
  </r>
  <r>
    <x v="1"/>
    <d v="2021-04-05T00:00:00"/>
    <x v="9"/>
    <x v="1"/>
    <n v="1"/>
    <x v="1"/>
    <x v="1"/>
  </r>
  <r>
    <x v="1"/>
    <d v="2021-04-05T00:00:00"/>
    <x v="9"/>
    <x v="1"/>
    <n v="1"/>
    <x v="1"/>
    <x v="1"/>
  </r>
  <r>
    <x v="1"/>
    <d v="2021-04-05T00:00:00"/>
    <x v="9"/>
    <x v="1"/>
    <n v="2"/>
    <x v="1"/>
    <x v="1"/>
  </r>
  <r>
    <x v="1"/>
    <d v="2021-04-06T00:00:00"/>
    <x v="9"/>
    <x v="1"/>
    <n v="1"/>
    <x v="2"/>
    <x v="2"/>
  </r>
  <r>
    <x v="1"/>
    <d v="2021-04-06T00:00:00"/>
    <x v="9"/>
    <x v="1"/>
    <n v="1"/>
    <x v="2"/>
    <x v="2"/>
  </r>
  <r>
    <x v="1"/>
    <d v="2021-04-06T00:00:00"/>
    <x v="9"/>
    <x v="1"/>
    <n v="1"/>
    <x v="2"/>
    <x v="2"/>
  </r>
  <r>
    <x v="1"/>
    <d v="2021-04-07T00:00:00"/>
    <x v="9"/>
    <x v="1"/>
    <n v="2"/>
    <x v="3"/>
    <x v="3"/>
  </r>
  <r>
    <x v="1"/>
    <d v="2021-04-07T00:00:00"/>
    <x v="9"/>
    <x v="1"/>
    <n v="2"/>
    <x v="3"/>
    <x v="3"/>
  </r>
  <r>
    <x v="1"/>
    <d v="2021-04-07T00:00:00"/>
    <x v="9"/>
    <x v="1"/>
    <n v="2"/>
    <x v="3"/>
    <x v="3"/>
  </r>
  <r>
    <x v="1"/>
    <d v="2021-04-08T00:00:00"/>
    <x v="9"/>
    <x v="1"/>
    <n v="1"/>
    <x v="4"/>
    <x v="0"/>
  </r>
  <r>
    <x v="1"/>
    <d v="2021-04-08T00:00:00"/>
    <x v="9"/>
    <x v="1"/>
    <n v="2"/>
    <x v="4"/>
    <x v="0"/>
  </r>
  <r>
    <x v="1"/>
    <d v="2021-04-08T00:00:00"/>
    <x v="9"/>
    <x v="1"/>
    <n v="2"/>
    <x v="4"/>
    <x v="0"/>
  </r>
  <r>
    <x v="1"/>
    <d v="2021-04-09T00:00:00"/>
    <x v="9"/>
    <x v="1"/>
    <n v="1"/>
    <x v="5"/>
    <x v="4"/>
  </r>
  <r>
    <x v="1"/>
    <d v="2021-04-09T00:00:00"/>
    <x v="9"/>
    <x v="1"/>
    <n v="1"/>
    <x v="5"/>
    <x v="4"/>
  </r>
  <r>
    <x v="1"/>
    <d v="2021-04-09T00:00:00"/>
    <x v="9"/>
    <x v="1"/>
    <n v="2"/>
    <x v="5"/>
    <x v="4"/>
  </r>
  <r>
    <x v="1"/>
    <d v="2021-04-12T00:00:00"/>
    <x v="9"/>
    <x v="1"/>
    <n v="1"/>
    <x v="6"/>
    <x v="1"/>
  </r>
  <r>
    <x v="1"/>
    <d v="2021-04-12T00:00:00"/>
    <x v="9"/>
    <x v="1"/>
    <n v="1"/>
    <x v="6"/>
    <x v="1"/>
  </r>
  <r>
    <x v="1"/>
    <d v="2021-04-12T00:00:00"/>
    <x v="9"/>
    <x v="1"/>
    <n v="1"/>
    <x v="6"/>
    <x v="1"/>
  </r>
  <r>
    <x v="1"/>
    <d v="2021-04-13T00:00:00"/>
    <x v="9"/>
    <x v="1"/>
    <n v="1"/>
    <x v="7"/>
    <x v="2"/>
  </r>
  <r>
    <x v="1"/>
    <d v="2021-04-13T00:00:00"/>
    <x v="9"/>
    <x v="1"/>
    <n v="2"/>
    <x v="7"/>
    <x v="2"/>
  </r>
  <r>
    <x v="1"/>
    <d v="2021-04-13T00:00:00"/>
    <x v="9"/>
    <x v="1"/>
    <n v="2"/>
    <x v="7"/>
    <x v="2"/>
  </r>
  <r>
    <x v="1"/>
    <d v="2021-04-14T00:00:00"/>
    <x v="9"/>
    <x v="1"/>
    <n v="1"/>
    <x v="8"/>
    <x v="3"/>
  </r>
  <r>
    <x v="1"/>
    <d v="2021-04-14T00:00:00"/>
    <x v="9"/>
    <x v="1"/>
    <n v="1"/>
    <x v="8"/>
    <x v="3"/>
  </r>
  <r>
    <x v="1"/>
    <d v="2021-04-15T00:00:00"/>
    <x v="9"/>
    <x v="1"/>
    <n v="2"/>
    <x v="9"/>
    <x v="0"/>
  </r>
  <r>
    <x v="1"/>
    <d v="2021-04-15T00:00:00"/>
    <x v="9"/>
    <x v="1"/>
    <n v="1"/>
    <x v="9"/>
    <x v="0"/>
  </r>
  <r>
    <x v="1"/>
    <d v="2021-04-15T00:00:00"/>
    <x v="9"/>
    <x v="1"/>
    <n v="2"/>
    <x v="9"/>
    <x v="0"/>
  </r>
  <r>
    <x v="1"/>
    <d v="2021-04-16T00:00:00"/>
    <x v="9"/>
    <x v="1"/>
    <n v="1"/>
    <x v="10"/>
    <x v="4"/>
  </r>
  <r>
    <x v="1"/>
    <d v="2021-04-16T00:00:00"/>
    <x v="9"/>
    <x v="1"/>
    <n v="1"/>
    <x v="10"/>
    <x v="4"/>
  </r>
  <r>
    <x v="1"/>
    <d v="2021-04-16T00:00:00"/>
    <x v="9"/>
    <x v="1"/>
    <n v="2"/>
    <x v="10"/>
    <x v="4"/>
  </r>
  <r>
    <x v="1"/>
    <d v="2021-04-19T00:00:00"/>
    <x v="9"/>
    <x v="1"/>
    <n v="2"/>
    <x v="11"/>
    <x v="1"/>
  </r>
  <r>
    <x v="1"/>
    <d v="2021-04-19T00:00:00"/>
    <x v="9"/>
    <x v="1"/>
    <n v="2"/>
    <x v="11"/>
    <x v="1"/>
  </r>
  <r>
    <x v="1"/>
    <d v="2021-04-19T00:00:00"/>
    <x v="9"/>
    <x v="1"/>
    <n v="2"/>
    <x v="11"/>
    <x v="1"/>
  </r>
  <r>
    <x v="1"/>
    <d v="2021-04-20T00:00:00"/>
    <x v="9"/>
    <x v="1"/>
    <n v="2"/>
    <x v="12"/>
    <x v="2"/>
  </r>
  <r>
    <x v="1"/>
    <d v="2021-04-20T00:00:00"/>
    <x v="9"/>
    <x v="1"/>
    <n v="2"/>
    <x v="12"/>
    <x v="2"/>
  </r>
  <r>
    <x v="1"/>
    <d v="2021-04-20T00:00:00"/>
    <x v="9"/>
    <x v="1"/>
    <n v="2"/>
    <x v="12"/>
    <x v="2"/>
  </r>
  <r>
    <x v="1"/>
    <d v="2021-04-22T00:00:00"/>
    <x v="9"/>
    <x v="1"/>
    <n v="1"/>
    <x v="13"/>
    <x v="0"/>
  </r>
  <r>
    <x v="1"/>
    <d v="2021-04-22T00:00:00"/>
    <x v="9"/>
    <x v="1"/>
    <n v="1"/>
    <x v="13"/>
    <x v="0"/>
  </r>
  <r>
    <x v="1"/>
    <d v="2021-04-22T00:00:00"/>
    <x v="9"/>
    <x v="1"/>
    <n v="1"/>
    <x v="13"/>
    <x v="0"/>
  </r>
  <r>
    <x v="1"/>
    <d v="2021-04-23T00:00:00"/>
    <x v="9"/>
    <x v="1"/>
    <n v="2"/>
    <x v="14"/>
    <x v="4"/>
  </r>
  <r>
    <x v="1"/>
    <d v="2021-04-23T00:00:00"/>
    <x v="9"/>
    <x v="1"/>
    <n v="2"/>
    <x v="14"/>
    <x v="4"/>
  </r>
  <r>
    <x v="1"/>
    <d v="2021-04-23T00:00:00"/>
    <x v="9"/>
    <x v="1"/>
    <n v="2"/>
    <x v="14"/>
    <x v="4"/>
  </r>
  <r>
    <x v="1"/>
    <d v="2021-04-26T00:00:00"/>
    <x v="9"/>
    <x v="1"/>
    <n v="2"/>
    <x v="15"/>
    <x v="1"/>
  </r>
  <r>
    <x v="1"/>
    <d v="2021-04-26T00:00:00"/>
    <x v="9"/>
    <x v="1"/>
    <n v="1"/>
    <x v="15"/>
    <x v="1"/>
  </r>
  <r>
    <x v="1"/>
    <d v="2021-04-26T00:00:00"/>
    <x v="9"/>
    <x v="1"/>
    <n v="2"/>
    <x v="15"/>
    <x v="1"/>
  </r>
  <r>
    <x v="1"/>
    <d v="2021-04-27T00:00:00"/>
    <x v="9"/>
    <x v="1"/>
    <n v="1"/>
    <x v="16"/>
    <x v="2"/>
  </r>
  <r>
    <x v="1"/>
    <d v="2021-04-27T00:00:00"/>
    <x v="9"/>
    <x v="1"/>
    <n v="1"/>
    <x v="16"/>
    <x v="2"/>
  </r>
  <r>
    <x v="1"/>
    <d v="2021-04-27T00:00:00"/>
    <x v="9"/>
    <x v="1"/>
    <n v="2"/>
    <x v="16"/>
    <x v="2"/>
  </r>
  <r>
    <x v="1"/>
    <d v="2021-04-28T00:00:00"/>
    <x v="9"/>
    <x v="1"/>
    <n v="2"/>
    <x v="17"/>
    <x v="3"/>
  </r>
  <r>
    <x v="1"/>
    <d v="2021-04-28T00:00:00"/>
    <x v="9"/>
    <x v="1"/>
    <n v="2"/>
    <x v="17"/>
    <x v="3"/>
  </r>
  <r>
    <x v="1"/>
    <d v="2021-04-28T00:00:00"/>
    <x v="9"/>
    <x v="1"/>
    <n v="1"/>
    <x v="17"/>
    <x v="3"/>
  </r>
  <r>
    <x v="1"/>
    <d v="2021-04-29T00:00:00"/>
    <x v="9"/>
    <x v="1"/>
    <n v="1"/>
    <x v="18"/>
    <x v="0"/>
  </r>
  <r>
    <x v="1"/>
    <d v="2021-04-29T00:00:00"/>
    <x v="9"/>
    <x v="1"/>
    <n v="1"/>
    <x v="18"/>
    <x v="0"/>
  </r>
  <r>
    <x v="1"/>
    <d v="2021-04-29T00:00:00"/>
    <x v="9"/>
    <x v="1"/>
    <n v="1"/>
    <x v="18"/>
    <x v="0"/>
  </r>
  <r>
    <x v="1"/>
    <d v="2021-04-30T00:00:00"/>
    <x v="9"/>
    <x v="1"/>
    <n v="1"/>
    <x v="19"/>
    <x v="4"/>
  </r>
  <r>
    <x v="1"/>
    <d v="2021-04-30T00:00:00"/>
    <x v="9"/>
    <x v="1"/>
    <n v="1"/>
    <x v="19"/>
    <x v="4"/>
  </r>
  <r>
    <x v="1"/>
    <d v="2021-04-30T00:00:00"/>
    <x v="9"/>
    <x v="1"/>
    <n v="1"/>
    <x v="19"/>
    <x v="4"/>
  </r>
  <r>
    <x v="1"/>
    <d v="2021-04-30T00:00:00"/>
    <x v="9"/>
    <x v="1"/>
    <n v="1"/>
    <x v="19"/>
    <x v="4"/>
  </r>
  <r>
    <x v="1"/>
    <d v="2021-04-01T00:00:00"/>
    <x v="10"/>
    <x v="1"/>
    <n v="2"/>
    <x v="0"/>
    <x v="0"/>
  </r>
  <r>
    <x v="1"/>
    <d v="2021-04-01T00:00:00"/>
    <x v="11"/>
    <x v="1"/>
    <n v="1"/>
    <x v="0"/>
    <x v="0"/>
  </r>
  <r>
    <x v="1"/>
    <d v="2021-04-05T00:00:00"/>
    <x v="11"/>
    <x v="1"/>
    <n v="2"/>
    <x v="1"/>
    <x v="1"/>
  </r>
  <r>
    <x v="1"/>
    <d v="2021-04-06T00:00:00"/>
    <x v="11"/>
    <x v="1"/>
    <n v="2"/>
    <x v="2"/>
    <x v="2"/>
  </r>
  <r>
    <x v="1"/>
    <d v="2021-04-07T00:00:00"/>
    <x v="11"/>
    <x v="1"/>
    <n v="2"/>
    <x v="3"/>
    <x v="3"/>
  </r>
  <r>
    <x v="1"/>
    <d v="2021-04-07T00:00:00"/>
    <x v="11"/>
    <x v="1"/>
    <n v="1"/>
    <x v="3"/>
    <x v="3"/>
  </r>
  <r>
    <x v="1"/>
    <d v="2021-04-07T00:00:00"/>
    <x v="11"/>
    <x v="1"/>
    <n v="2"/>
    <x v="3"/>
    <x v="3"/>
  </r>
  <r>
    <x v="1"/>
    <d v="2021-04-08T00:00:00"/>
    <x v="11"/>
    <x v="1"/>
    <n v="2"/>
    <x v="4"/>
    <x v="0"/>
  </r>
  <r>
    <x v="1"/>
    <d v="2021-04-08T00:00:00"/>
    <x v="11"/>
    <x v="1"/>
    <n v="1"/>
    <x v="4"/>
    <x v="0"/>
  </r>
  <r>
    <x v="1"/>
    <d v="2021-04-08T00:00:00"/>
    <x v="11"/>
    <x v="1"/>
    <n v="1"/>
    <x v="4"/>
    <x v="0"/>
  </r>
  <r>
    <x v="1"/>
    <d v="2021-04-09T00:00:00"/>
    <x v="11"/>
    <x v="1"/>
    <n v="2"/>
    <x v="5"/>
    <x v="4"/>
  </r>
  <r>
    <x v="1"/>
    <d v="2021-04-09T00:00:00"/>
    <x v="11"/>
    <x v="1"/>
    <n v="1"/>
    <x v="5"/>
    <x v="4"/>
  </r>
  <r>
    <x v="1"/>
    <d v="2021-04-09T00:00:00"/>
    <x v="11"/>
    <x v="1"/>
    <n v="2"/>
    <x v="5"/>
    <x v="4"/>
  </r>
  <r>
    <x v="1"/>
    <d v="2021-04-12T00:00:00"/>
    <x v="11"/>
    <x v="1"/>
    <n v="1"/>
    <x v="6"/>
    <x v="1"/>
  </r>
  <r>
    <x v="1"/>
    <d v="2021-04-12T00:00:00"/>
    <x v="11"/>
    <x v="1"/>
    <n v="2"/>
    <x v="6"/>
    <x v="1"/>
  </r>
  <r>
    <x v="1"/>
    <d v="2021-04-12T00:00:00"/>
    <x v="11"/>
    <x v="1"/>
    <n v="1"/>
    <x v="6"/>
    <x v="1"/>
  </r>
  <r>
    <x v="1"/>
    <d v="2021-04-13T00:00:00"/>
    <x v="11"/>
    <x v="1"/>
    <n v="2"/>
    <x v="7"/>
    <x v="2"/>
  </r>
  <r>
    <x v="1"/>
    <d v="2021-04-13T00:00:00"/>
    <x v="11"/>
    <x v="1"/>
    <n v="1"/>
    <x v="7"/>
    <x v="2"/>
  </r>
  <r>
    <x v="1"/>
    <d v="2021-04-13T00:00:00"/>
    <x v="11"/>
    <x v="1"/>
    <n v="2"/>
    <x v="7"/>
    <x v="2"/>
  </r>
  <r>
    <x v="1"/>
    <d v="2021-04-14T00:00:00"/>
    <x v="11"/>
    <x v="1"/>
    <n v="2"/>
    <x v="8"/>
    <x v="3"/>
  </r>
  <r>
    <x v="1"/>
    <d v="2021-04-14T00:00:00"/>
    <x v="11"/>
    <x v="1"/>
    <n v="2"/>
    <x v="8"/>
    <x v="3"/>
  </r>
  <r>
    <x v="1"/>
    <d v="2021-04-14T00:00:00"/>
    <x v="11"/>
    <x v="1"/>
    <n v="1"/>
    <x v="8"/>
    <x v="3"/>
  </r>
  <r>
    <x v="1"/>
    <d v="2021-04-15T00:00:00"/>
    <x v="11"/>
    <x v="1"/>
    <n v="1"/>
    <x v="9"/>
    <x v="0"/>
  </r>
  <r>
    <x v="1"/>
    <d v="2021-04-15T00:00:00"/>
    <x v="11"/>
    <x v="1"/>
    <n v="2"/>
    <x v="9"/>
    <x v="0"/>
  </r>
  <r>
    <x v="1"/>
    <d v="2021-04-15T00:00:00"/>
    <x v="11"/>
    <x v="1"/>
    <n v="2"/>
    <x v="9"/>
    <x v="0"/>
  </r>
  <r>
    <x v="1"/>
    <d v="2021-04-16T00:00:00"/>
    <x v="11"/>
    <x v="1"/>
    <n v="2"/>
    <x v="10"/>
    <x v="4"/>
  </r>
  <r>
    <x v="1"/>
    <d v="2021-04-16T00:00:00"/>
    <x v="11"/>
    <x v="1"/>
    <n v="2"/>
    <x v="10"/>
    <x v="4"/>
  </r>
  <r>
    <x v="1"/>
    <d v="2021-04-16T00:00:00"/>
    <x v="11"/>
    <x v="1"/>
    <n v="2"/>
    <x v="10"/>
    <x v="4"/>
  </r>
  <r>
    <x v="1"/>
    <d v="2021-04-19T00:00:00"/>
    <x v="11"/>
    <x v="1"/>
    <n v="1"/>
    <x v="11"/>
    <x v="1"/>
  </r>
  <r>
    <x v="1"/>
    <d v="2021-04-20T00:00:00"/>
    <x v="11"/>
    <x v="1"/>
    <n v="1"/>
    <x v="12"/>
    <x v="2"/>
  </r>
  <r>
    <x v="1"/>
    <d v="2021-04-22T00:00:00"/>
    <x v="11"/>
    <x v="1"/>
    <n v="1"/>
    <x v="13"/>
    <x v="0"/>
  </r>
  <r>
    <x v="1"/>
    <d v="2021-04-23T00:00:00"/>
    <x v="11"/>
    <x v="1"/>
    <n v="2"/>
    <x v="14"/>
    <x v="4"/>
  </r>
  <r>
    <x v="1"/>
    <d v="2021-04-23T00:00:00"/>
    <x v="11"/>
    <x v="1"/>
    <n v="2"/>
    <x v="14"/>
    <x v="4"/>
  </r>
  <r>
    <x v="1"/>
    <d v="2021-04-23T00:00:00"/>
    <x v="11"/>
    <x v="1"/>
    <n v="1"/>
    <x v="14"/>
    <x v="4"/>
  </r>
  <r>
    <x v="1"/>
    <d v="2021-04-26T00:00:00"/>
    <x v="11"/>
    <x v="1"/>
    <n v="2"/>
    <x v="15"/>
    <x v="1"/>
  </r>
  <r>
    <x v="1"/>
    <d v="2021-04-26T00:00:00"/>
    <x v="11"/>
    <x v="1"/>
    <n v="2"/>
    <x v="15"/>
    <x v="1"/>
  </r>
  <r>
    <x v="1"/>
    <d v="2021-04-26T00:00:00"/>
    <x v="11"/>
    <x v="1"/>
    <n v="2"/>
    <x v="15"/>
    <x v="1"/>
  </r>
  <r>
    <x v="1"/>
    <d v="2021-04-27T00:00:00"/>
    <x v="11"/>
    <x v="1"/>
    <n v="1"/>
    <x v="16"/>
    <x v="2"/>
  </r>
  <r>
    <x v="1"/>
    <d v="2021-04-27T00:00:00"/>
    <x v="11"/>
    <x v="1"/>
    <n v="2"/>
    <x v="16"/>
    <x v="2"/>
  </r>
  <r>
    <x v="1"/>
    <d v="2021-04-27T00:00:00"/>
    <x v="11"/>
    <x v="1"/>
    <n v="2"/>
    <x v="16"/>
    <x v="2"/>
  </r>
  <r>
    <x v="1"/>
    <d v="2021-04-28T00:00:00"/>
    <x v="11"/>
    <x v="1"/>
    <n v="1"/>
    <x v="17"/>
    <x v="3"/>
  </r>
  <r>
    <x v="1"/>
    <d v="2021-04-28T00:00:00"/>
    <x v="11"/>
    <x v="1"/>
    <n v="2"/>
    <x v="17"/>
    <x v="3"/>
  </r>
  <r>
    <x v="1"/>
    <d v="2021-04-28T00:00:00"/>
    <x v="11"/>
    <x v="1"/>
    <n v="2"/>
    <x v="17"/>
    <x v="3"/>
  </r>
  <r>
    <x v="1"/>
    <d v="2021-04-29T00:00:00"/>
    <x v="11"/>
    <x v="1"/>
    <n v="1"/>
    <x v="18"/>
    <x v="0"/>
  </r>
  <r>
    <x v="1"/>
    <d v="2021-04-29T00:00:00"/>
    <x v="11"/>
    <x v="1"/>
    <n v="1"/>
    <x v="18"/>
    <x v="0"/>
  </r>
  <r>
    <x v="1"/>
    <d v="2021-04-29T00:00:00"/>
    <x v="11"/>
    <x v="1"/>
    <n v="2"/>
    <x v="18"/>
    <x v="0"/>
  </r>
  <r>
    <x v="1"/>
    <d v="2021-04-30T00:00:00"/>
    <x v="11"/>
    <x v="1"/>
    <n v="2"/>
    <x v="19"/>
    <x v="4"/>
  </r>
  <r>
    <x v="1"/>
    <d v="2021-04-30T00:00:00"/>
    <x v="11"/>
    <x v="1"/>
    <n v="2"/>
    <x v="19"/>
    <x v="4"/>
  </r>
  <r>
    <x v="1"/>
    <d v="2021-04-30T00:00:00"/>
    <x v="11"/>
    <x v="1"/>
    <n v="2"/>
    <x v="19"/>
    <x v="4"/>
  </r>
  <r>
    <x v="1"/>
    <d v="2021-04-30T00:00:00"/>
    <x v="11"/>
    <x v="1"/>
    <n v="1"/>
    <x v="19"/>
    <x v="4"/>
  </r>
  <r>
    <x v="1"/>
    <d v="2021-04-01T00:00:00"/>
    <x v="12"/>
    <x v="1"/>
    <n v="1"/>
    <x v="0"/>
    <x v="0"/>
  </r>
  <r>
    <x v="1"/>
    <d v="2021-04-05T00:00:00"/>
    <x v="12"/>
    <x v="1"/>
    <n v="1"/>
    <x v="1"/>
    <x v="1"/>
  </r>
  <r>
    <x v="1"/>
    <d v="2021-04-06T00:00:00"/>
    <x v="12"/>
    <x v="1"/>
    <n v="2"/>
    <x v="2"/>
    <x v="2"/>
  </r>
  <r>
    <x v="1"/>
    <d v="2021-04-07T00:00:00"/>
    <x v="12"/>
    <x v="1"/>
    <n v="1"/>
    <x v="3"/>
    <x v="3"/>
  </r>
  <r>
    <x v="1"/>
    <d v="2021-04-08T00:00:00"/>
    <x v="12"/>
    <x v="1"/>
    <n v="2"/>
    <x v="4"/>
    <x v="0"/>
  </r>
  <r>
    <x v="1"/>
    <d v="2021-04-09T00:00:00"/>
    <x v="12"/>
    <x v="1"/>
    <n v="1"/>
    <x v="5"/>
    <x v="4"/>
  </r>
  <r>
    <x v="1"/>
    <d v="2021-04-12T00:00:00"/>
    <x v="12"/>
    <x v="1"/>
    <n v="1"/>
    <x v="6"/>
    <x v="1"/>
  </r>
  <r>
    <x v="1"/>
    <d v="2021-04-13T00:00:00"/>
    <x v="12"/>
    <x v="1"/>
    <n v="2"/>
    <x v="7"/>
    <x v="2"/>
  </r>
  <r>
    <x v="1"/>
    <d v="2021-04-14T00:00:00"/>
    <x v="12"/>
    <x v="1"/>
    <n v="1"/>
    <x v="8"/>
    <x v="3"/>
  </r>
  <r>
    <x v="1"/>
    <d v="2021-04-15T00:00:00"/>
    <x v="12"/>
    <x v="1"/>
    <n v="2"/>
    <x v="9"/>
    <x v="0"/>
  </r>
  <r>
    <x v="1"/>
    <d v="2021-04-16T00:00:00"/>
    <x v="12"/>
    <x v="1"/>
    <n v="1"/>
    <x v="10"/>
    <x v="4"/>
  </r>
  <r>
    <x v="1"/>
    <d v="2021-04-16T00:00:00"/>
    <x v="12"/>
    <x v="1"/>
    <n v="1"/>
    <x v="10"/>
    <x v="4"/>
  </r>
  <r>
    <x v="1"/>
    <d v="2021-04-19T00:00:00"/>
    <x v="12"/>
    <x v="1"/>
    <n v="1"/>
    <x v="11"/>
    <x v="1"/>
  </r>
  <r>
    <x v="1"/>
    <d v="2021-04-20T00:00:00"/>
    <x v="12"/>
    <x v="1"/>
    <n v="1"/>
    <x v="12"/>
    <x v="2"/>
  </r>
  <r>
    <x v="1"/>
    <d v="2021-04-22T00:00:00"/>
    <x v="12"/>
    <x v="1"/>
    <n v="1"/>
    <x v="13"/>
    <x v="0"/>
  </r>
  <r>
    <x v="1"/>
    <d v="2021-04-23T00:00:00"/>
    <x v="12"/>
    <x v="1"/>
    <n v="2"/>
    <x v="14"/>
    <x v="4"/>
  </r>
  <r>
    <x v="1"/>
    <d v="2021-04-26T00:00:00"/>
    <x v="12"/>
    <x v="1"/>
    <n v="1"/>
    <x v="15"/>
    <x v="1"/>
  </r>
  <r>
    <x v="1"/>
    <d v="2021-04-26T00:00:00"/>
    <x v="12"/>
    <x v="1"/>
    <n v="1"/>
    <x v="15"/>
    <x v="1"/>
  </r>
  <r>
    <x v="1"/>
    <d v="2021-04-27T00:00:00"/>
    <x v="12"/>
    <x v="1"/>
    <n v="2"/>
    <x v="16"/>
    <x v="2"/>
  </r>
  <r>
    <x v="1"/>
    <d v="2021-04-28T00:00:00"/>
    <x v="12"/>
    <x v="1"/>
    <n v="2"/>
    <x v="17"/>
    <x v="3"/>
  </r>
  <r>
    <x v="1"/>
    <d v="2021-04-29T00:00:00"/>
    <x v="12"/>
    <x v="1"/>
    <n v="2"/>
    <x v="18"/>
    <x v="0"/>
  </r>
  <r>
    <x v="1"/>
    <d v="2021-04-30T00:00:00"/>
    <x v="12"/>
    <x v="1"/>
    <n v="1"/>
    <x v="19"/>
    <x v="4"/>
  </r>
  <r>
    <x v="1"/>
    <d v="2021-04-30T00:00:00"/>
    <x v="12"/>
    <x v="1"/>
    <n v="2"/>
    <x v="19"/>
    <x v="4"/>
  </r>
  <r>
    <x v="1"/>
    <d v="2021-04-05T00:00:00"/>
    <x v="13"/>
    <x v="1"/>
    <n v="2"/>
    <x v="1"/>
    <x v="1"/>
  </r>
  <r>
    <x v="1"/>
    <d v="2021-04-06T00:00:00"/>
    <x v="13"/>
    <x v="1"/>
    <n v="1"/>
    <x v="2"/>
    <x v="2"/>
  </r>
  <r>
    <x v="1"/>
    <d v="2021-04-07T00:00:00"/>
    <x v="13"/>
    <x v="1"/>
    <n v="1"/>
    <x v="3"/>
    <x v="3"/>
  </r>
  <r>
    <x v="1"/>
    <d v="2021-04-08T00:00:00"/>
    <x v="13"/>
    <x v="1"/>
    <n v="2"/>
    <x v="4"/>
    <x v="0"/>
  </r>
  <r>
    <x v="1"/>
    <d v="2021-04-09T00:00:00"/>
    <x v="13"/>
    <x v="1"/>
    <n v="1"/>
    <x v="5"/>
    <x v="4"/>
  </r>
  <r>
    <x v="1"/>
    <d v="2021-04-12T00:00:00"/>
    <x v="13"/>
    <x v="1"/>
    <n v="1"/>
    <x v="6"/>
    <x v="1"/>
  </r>
  <r>
    <x v="1"/>
    <d v="2021-04-13T00:00:00"/>
    <x v="13"/>
    <x v="1"/>
    <n v="2"/>
    <x v="7"/>
    <x v="2"/>
  </r>
  <r>
    <x v="1"/>
    <d v="2021-04-14T00:00:00"/>
    <x v="13"/>
    <x v="1"/>
    <n v="2"/>
    <x v="8"/>
    <x v="3"/>
  </r>
  <r>
    <x v="1"/>
    <d v="2021-04-15T00:00:00"/>
    <x v="13"/>
    <x v="1"/>
    <n v="2"/>
    <x v="9"/>
    <x v="0"/>
  </r>
  <r>
    <x v="1"/>
    <d v="2021-04-16T00:00:00"/>
    <x v="13"/>
    <x v="1"/>
    <n v="1"/>
    <x v="10"/>
    <x v="4"/>
  </r>
  <r>
    <x v="1"/>
    <d v="2021-04-19T00:00:00"/>
    <x v="13"/>
    <x v="1"/>
    <n v="2"/>
    <x v="11"/>
    <x v="1"/>
  </r>
  <r>
    <x v="1"/>
    <d v="2021-04-20T00:00:00"/>
    <x v="13"/>
    <x v="1"/>
    <n v="2"/>
    <x v="12"/>
    <x v="2"/>
  </r>
  <r>
    <x v="1"/>
    <d v="2021-04-22T00:00:00"/>
    <x v="13"/>
    <x v="1"/>
    <n v="1"/>
    <x v="13"/>
    <x v="0"/>
  </r>
  <r>
    <x v="1"/>
    <d v="2021-04-23T00:00:00"/>
    <x v="13"/>
    <x v="1"/>
    <n v="1"/>
    <x v="14"/>
    <x v="4"/>
  </r>
  <r>
    <x v="1"/>
    <d v="2021-04-26T00:00:00"/>
    <x v="13"/>
    <x v="1"/>
    <n v="2"/>
    <x v="15"/>
    <x v="1"/>
  </r>
  <r>
    <x v="1"/>
    <d v="2021-04-27T00:00:00"/>
    <x v="13"/>
    <x v="1"/>
    <n v="1"/>
    <x v="16"/>
    <x v="2"/>
  </r>
  <r>
    <x v="1"/>
    <d v="2021-04-28T00:00:00"/>
    <x v="13"/>
    <x v="1"/>
    <n v="1"/>
    <x v="17"/>
    <x v="3"/>
  </r>
  <r>
    <x v="1"/>
    <d v="2021-04-29T00:00:00"/>
    <x v="13"/>
    <x v="1"/>
    <n v="1"/>
    <x v="18"/>
    <x v="0"/>
  </r>
  <r>
    <x v="1"/>
    <d v="2021-04-30T00:00:00"/>
    <x v="13"/>
    <x v="1"/>
    <n v="2"/>
    <x v="19"/>
    <x v="4"/>
  </r>
  <r>
    <x v="1"/>
    <d v="2021-04-01T00:00:00"/>
    <x v="14"/>
    <x v="1"/>
    <n v="1"/>
    <x v="0"/>
    <x v="0"/>
  </r>
  <r>
    <x v="1"/>
    <d v="2021-04-05T00:00:00"/>
    <x v="14"/>
    <x v="1"/>
    <n v="1"/>
    <x v="1"/>
    <x v="1"/>
  </r>
  <r>
    <x v="1"/>
    <d v="2021-04-06T00:00:00"/>
    <x v="14"/>
    <x v="1"/>
    <n v="2"/>
    <x v="2"/>
    <x v="2"/>
  </r>
  <r>
    <x v="1"/>
    <d v="2021-04-07T00:00:00"/>
    <x v="14"/>
    <x v="1"/>
    <n v="2"/>
    <x v="3"/>
    <x v="3"/>
  </r>
  <r>
    <x v="1"/>
    <d v="2021-04-08T00:00:00"/>
    <x v="14"/>
    <x v="1"/>
    <n v="1"/>
    <x v="4"/>
    <x v="0"/>
  </r>
  <r>
    <x v="1"/>
    <d v="2021-04-09T00:00:00"/>
    <x v="14"/>
    <x v="1"/>
    <n v="2"/>
    <x v="5"/>
    <x v="4"/>
  </r>
  <r>
    <x v="1"/>
    <d v="2021-04-12T00:00:00"/>
    <x v="14"/>
    <x v="1"/>
    <n v="1"/>
    <x v="6"/>
    <x v="1"/>
  </r>
  <r>
    <x v="1"/>
    <d v="2021-04-13T00:00:00"/>
    <x v="14"/>
    <x v="1"/>
    <n v="2"/>
    <x v="7"/>
    <x v="2"/>
  </r>
  <r>
    <x v="1"/>
    <d v="2021-04-14T00:00:00"/>
    <x v="14"/>
    <x v="1"/>
    <n v="2"/>
    <x v="8"/>
    <x v="3"/>
  </r>
  <r>
    <x v="1"/>
    <d v="2021-04-15T00:00:00"/>
    <x v="14"/>
    <x v="1"/>
    <n v="1"/>
    <x v="9"/>
    <x v="0"/>
  </r>
  <r>
    <x v="1"/>
    <d v="2021-04-16T00:00:00"/>
    <x v="14"/>
    <x v="1"/>
    <n v="1"/>
    <x v="10"/>
    <x v="4"/>
  </r>
  <r>
    <x v="1"/>
    <d v="2021-04-19T00:00:00"/>
    <x v="14"/>
    <x v="1"/>
    <n v="2"/>
    <x v="11"/>
    <x v="1"/>
  </r>
  <r>
    <x v="1"/>
    <d v="2021-04-20T00:00:00"/>
    <x v="14"/>
    <x v="1"/>
    <n v="1"/>
    <x v="12"/>
    <x v="2"/>
  </r>
  <r>
    <x v="1"/>
    <d v="2021-04-22T00:00:00"/>
    <x v="14"/>
    <x v="1"/>
    <n v="2"/>
    <x v="13"/>
    <x v="0"/>
  </r>
  <r>
    <x v="1"/>
    <d v="2021-04-23T00:00:00"/>
    <x v="14"/>
    <x v="1"/>
    <n v="2"/>
    <x v="14"/>
    <x v="4"/>
  </r>
  <r>
    <x v="1"/>
    <d v="2021-04-26T00:00:00"/>
    <x v="14"/>
    <x v="1"/>
    <n v="2"/>
    <x v="15"/>
    <x v="1"/>
  </r>
  <r>
    <x v="1"/>
    <d v="2021-04-27T00:00:00"/>
    <x v="14"/>
    <x v="1"/>
    <n v="2"/>
    <x v="16"/>
    <x v="2"/>
  </r>
  <r>
    <x v="1"/>
    <d v="2021-04-28T00:00:00"/>
    <x v="14"/>
    <x v="1"/>
    <n v="1"/>
    <x v="17"/>
    <x v="3"/>
  </r>
  <r>
    <x v="1"/>
    <d v="2021-04-29T00:00:00"/>
    <x v="14"/>
    <x v="1"/>
    <n v="1"/>
    <x v="18"/>
    <x v="0"/>
  </r>
  <r>
    <x v="1"/>
    <d v="2021-04-30T00:00:00"/>
    <x v="14"/>
    <x v="1"/>
    <n v="1"/>
    <x v="19"/>
    <x v="4"/>
  </r>
  <r>
    <x v="1"/>
    <d v="2021-04-01T00:00:00"/>
    <x v="15"/>
    <x v="1"/>
    <n v="1"/>
    <x v="0"/>
    <x v="0"/>
  </r>
  <r>
    <x v="1"/>
    <d v="2021-04-01T00:00:00"/>
    <x v="15"/>
    <x v="1"/>
    <n v="2"/>
    <x v="0"/>
    <x v="0"/>
  </r>
  <r>
    <x v="1"/>
    <d v="2021-04-05T00:00:00"/>
    <x v="15"/>
    <x v="1"/>
    <n v="1"/>
    <x v="1"/>
    <x v="1"/>
  </r>
  <r>
    <x v="1"/>
    <d v="2021-04-05T00:00:00"/>
    <x v="15"/>
    <x v="1"/>
    <n v="2"/>
    <x v="1"/>
    <x v="1"/>
  </r>
  <r>
    <x v="1"/>
    <d v="2021-04-05T00:00:00"/>
    <x v="15"/>
    <x v="1"/>
    <n v="1"/>
    <x v="1"/>
    <x v="1"/>
  </r>
  <r>
    <x v="1"/>
    <d v="2021-04-06T00:00:00"/>
    <x v="15"/>
    <x v="1"/>
    <n v="1"/>
    <x v="2"/>
    <x v="2"/>
  </r>
  <r>
    <x v="1"/>
    <d v="2021-04-06T00:00:00"/>
    <x v="15"/>
    <x v="1"/>
    <n v="2"/>
    <x v="2"/>
    <x v="2"/>
  </r>
  <r>
    <x v="1"/>
    <d v="2021-04-07T00:00:00"/>
    <x v="15"/>
    <x v="1"/>
    <n v="2"/>
    <x v="3"/>
    <x v="3"/>
  </r>
  <r>
    <x v="1"/>
    <d v="2021-04-07T00:00:00"/>
    <x v="15"/>
    <x v="1"/>
    <n v="1"/>
    <x v="3"/>
    <x v="3"/>
  </r>
  <r>
    <x v="1"/>
    <d v="2021-04-07T00:00:00"/>
    <x v="15"/>
    <x v="1"/>
    <n v="2"/>
    <x v="3"/>
    <x v="3"/>
  </r>
  <r>
    <x v="1"/>
    <d v="2021-04-08T00:00:00"/>
    <x v="15"/>
    <x v="1"/>
    <n v="2"/>
    <x v="4"/>
    <x v="0"/>
  </r>
  <r>
    <x v="1"/>
    <d v="2021-04-08T00:00:00"/>
    <x v="15"/>
    <x v="1"/>
    <n v="2"/>
    <x v="4"/>
    <x v="0"/>
  </r>
  <r>
    <x v="1"/>
    <d v="2021-04-08T00:00:00"/>
    <x v="15"/>
    <x v="1"/>
    <n v="1"/>
    <x v="4"/>
    <x v="0"/>
  </r>
  <r>
    <x v="1"/>
    <d v="2021-04-09T00:00:00"/>
    <x v="15"/>
    <x v="1"/>
    <n v="2"/>
    <x v="5"/>
    <x v="4"/>
  </r>
  <r>
    <x v="1"/>
    <d v="2021-04-09T00:00:00"/>
    <x v="15"/>
    <x v="1"/>
    <n v="2"/>
    <x v="5"/>
    <x v="4"/>
  </r>
  <r>
    <x v="1"/>
    <d v="2021-04-09T00:00:00"/>
    <x v="15"/>
    <x v="1"/>
    <n v="1"/>
    <x v="5"/>
    <x v="4"/>
  </r>
  <r>
    <x v="1"/>
    <d v="2021-04-10T00:00:00"/>
    <x v="15"/>
    <x v="1"/>
    <n v="1"/>
    <x v="23"/>
    <x v="5"/>
  </r>
  <r>
    <x v="1"/>
    <d v="2021-04-10T00:00:00"/>
    <x v="15"/>
    <x v="1"/>
    <n v="1"/>
    <x v="23"/>
    <x v="5"/>
  </r>
  <r>
    <x v="1"/>
    <d v="2021-04-12T00:00:00"/>
    <x v="15"/>
    <x v="1"/>
    <n v="2"/>
    <x v="6"/>
    <x v="1"/>
  </r>
  <r>
    <x v="1"/>
    <d v="2021-04-13T00:00:00"/>
    <x v="15"/>
    <x v="1"/>
    <n v="2"/>
    <x v="7"/>
    <x v="2"/>
  </r>
  <r>
    <x v="1"/>
    <d v="2021-04-13T00:00:00"/>
    <x v="15"/>
    <x v="1"/>
    <n v="1"/>
    <x v="7"/>
    <x v="2"/>
  </r>
  <r>
    <x v="1"/>
    <d v="2021-04-14T00:00:00"/>
    <x v="15"/>
    <x v="1"/>
    <n v="2"/>
    <x v="8"/>
    <x v="3"/>
  </r>
  <r>
    <x v="1"/>
    <d v="2021-04-14T00:00:00"/>
    <x v="15"/>
    <x v="1"/>
    <n v="1"/>
    <x v="8"/>
    <x v="3"/>
  </r>
  <r>
    <x v="1"/>
    <d v="2021-04-14T00:00:00"/>
    <x v="15"/>
    <x v="1"/>
    <n v="1"/>
    <x v="8"/>
    <x v="3"/>
  </r>
  <r>
    <x v="1"/>
    <d v="2021-04-15T00:00:00"/>
    <x v="15"/>
    <x v="1"/>
    <n v="2"/>
    <x v="9"/>
    <x v="0"/>
  </r>
  <r>
    <x v="1"/>
    <d v="2021-04-15T00:00:00"/>
    <x v="15"/>
    <x v="1"/>
    <n v="2"/>
    <x v="9"/>
    <x v="0"/>
  </r>
  <r>
    <x v="1"/>
    <d v="2021-04-16T00:00:00"/>
    <x v="15"/>
    <x v="1"/>
    <n v="2"/>
    <x v="10"/>
    <x v="4"/>
  </r>
  <r>
    <x v="1"/>
    <d v="2021-04-16T00:00:00"/>
    <x v="15"/>
    <x v="1"/>
    <n v="2"/>
    <x v="10"/>
    <x v="4"/>
  </r>
  <r>
    <x v="1"/>
    <d v="2021-04-19T00:00:00"/>
    <x v="15"/>
    <x v="1"/>
    <n v="1"/>
    <x v="11"/>
    <x v="1"/>
  </r>
  <r>
    <x v="1"/>
    <d v="2021-04-20T00:00:00"/>
    <x v="15"/>
    <x v="1"/>
    <n v="1"/>
    <x v="12"/>
    <x v="2"/>
  </r>
  <r>
    <x v="1"/>
    <d v="2021-04-20T00:00:00"/>
    <x v="15"/>
    <x v="1"/>
    <n v="2"/>
    <x v="12"/>
    <x v="2"/>
  </r>
  <r>
    <x v="1"/>
    <d v="2021-04-22T00:00:00"/>
    <x v="15"/>
    <x v="1"/>
    <n v="1"/>
    <x v="13"/>
    <x v="0"/>
  </r>
  <r>
    <x v="1"/>
    <d v="2021-04-23T00:00:00"/>
    <x v="15"/>
    <x v="1"/>
    <n v="2"/>
    <x v="14"/>
    <x v="4"/>
  </r>
  <r>
    <x v="1"/>
    <d v="2021-04-26T00:00:00"/>
    <x v="15"/>
    <x v="1"/>
    <n v="2"/>
    <x v="15"/>
    <x v="1"/>
  </r>
  <r>
    <x v="1"/>
    <d v="2021-04-26T00:00:00"/>
    <x v="15"/>
    <x v="1"/>
    <n v="2"/>
    <x v="15"/>
    <x v="1"/>
  </r>
  <r>
    <x v="1"/>
    <d v="2021-04-27T00:00:00"/>
    <x v="15"/>
    <x v="1"/>
    <n v="2"/>
    <x v="16"/>
    <x v="2"/>
  </r>
  <r>
    <x v="1"/>
    <d v="2021-04-28T00:00:00"/>
    <x v="15"/>
    <x v="1"/>
    <n v="1"/>
    <x v="17"/>
    <x v="3"/>
  </r>
  <r>
    <x v="1"/>
    <d v="2021-04-28T00:00:00"/>
    <x v="15"/>
    <x v="1"/>
    <n v="1"/>
    <x v="17"/>
    <x v="3"/>
  </r>
  <r>
    <x v="1"/>
    <d v="2021-04-28T00:00:00"/>
    <x v="15"/>
    <x v="1"/>
    <n v="1"/>
    <x v="17"/>
    <x v="3"/>
  </r>
  <r>
    <x v="1"/>
    <d v="2021-04-29T00:00:00"/>
    <x v="15"/>
    <x v="1"/>
    <n v="1"/>
    <x v="18"/>
    <x v="0"/>
  </r>
  <r>
    <x v="1"/>
    <d v="2021-04-29T00:00:00"/>
    <x v="15"/>
    <x v="1"/>
    <n v="2"/>
    <x v="18"/>
    <x v="0"/>
  </r>
  <r>
    <x v="1"/>
    <d v="2021-04-30T00:00:00"/>
    <x v="15"/>
    <x v="1"/>
    <n v="2"/>
    <x v="19"/>
    <x v="4"/>
  </r>
  <r>
    <x v="1"/>
    <d v="2021-04-30T00:00:00"/>
    <x v="15"/>
    <x v="1"/>
    <n v="2"/>
    <x v="19"/>
    <x v="4"/>
  </r>
  <r>
    <x v="1"/>
    <d v="2021-04-30T00:00:00"/>
    <x v="15"/>
    <x v="1"/>
    <n v="1"/>
    <x v="19"/>
    <x v="4"/>
  </r>
  <r>
    <x v="1"/>
    <d v="2021-04-30T00:00:00"/>
    <x v="15"/>
    <x v="1"/>
    <n v="2"/>
    <x v="19"/>
    <x v="4"/>
  </r>
  <r>
    <x v="1"/>
    <d v="2021-04-30T00:00:00"/>
    <x v="15"/>
    <x v="1"/>
    <n v="1"/>
    <x v="19"/>
    <x v="4"/>
  </r>
  <r>
    <x v="1"/>
    <d v="2021-04-01T00:00:00"/>
    <x v="16"/>
    <x v="1"/>
    <n v="2"/>
    <x v="0"/>
    <x v="0"/>
  </r>
  <r>
    <x v="1"/>
    <d v="2021-04-01T00:00:00"/>
    <x v="16"/>
    <x v="1"/>
    <n v="1"/>
    <x v="0"/>
    <x v="0"/>
  </r>
  <r>
    <x v="1"/>
    <d v="2021-04-02T00:00:00"/>
    <x v="16"/>
    <x v="1"/>
    <n v="1"/>
    <x v="27"/>
    <x v="4"/>
  </r>
  <r>
    <x v="1"/>
    <d v="2021-04-05T00:00:00"/>
    <x v="16"/>
    <x v="1"/>
    <n v="2"/>
    <x v="1"/>
    <x v="1"/>
  </r>
  <r>
    <x v="1"/>
    <d v="2021-04-05T00:00:00"/>
    <x v="16"/>
    <x v="1"/>
    <n v="1"/>
    <x v="1"/>
    <x v="1"/>
  </r>
  <r>
    <x v="1"/>
    <d v="2021-04-05T00:00:00"/>
    <x v="16"/>
    <x v="1"/>
    <n v="2"/>
    <x v="1"/>
    <x v="1"/>
  </r>
  <r>
    <x v="1"/>
    <d v="2021-04-06T00:00:00"/>
    <x v="16"/>
    <x v="1"/>
    <n v="1"/>
    <x v="2"/>
    <x v="2"/>
  </r>
  <r>
    <x v="1"/>
    <d v="2021-04-06T00:00:00"/>
    <x v="16"/>
    <x v="1"/>
    <n v="2"/>
    <x v="2"/>
    <x v="2"/>
  </r>
  <r>
    <x v="1"/>
    <d v="2021-04-06T00:00:00"/>
    <x v="16"/>
    <x v="1"/>
    <n v="2"/>
    <x v="2"/>
    <x v="2"/>
  </r>
  <r>
    <x v="1"/>
    <d v="2021-04-07T00:00:00"/>
    <x v="16"/>
    <x v="1"/>
    <n v="1"/>
    <x v="3"/>
    <x v="3"/>
  </r>
  <r>
    <x v="1"/>
    <d v="2021-04-07T00:00:00"/>
    <x v="16"/>
    <x v="1"/>
    <n v="2"/>
    <x v="3"/>
    <x v="3"/>
  </r>
  <r>
    <x v="1"/>
    <d v="2021-04-07T00:00:00"/>
    <x v="16"/>
    <x v="1"/>
    <n v="1"/>
    <x v="3"/>
    <x v="3"/>
  </r>
  <r>
    <x v="1"/>
    <d v="2021-04-08T00:00:00"/>
    <x v="16"/>
    <x v="1"/>
    <n v="1"/>
    <x v="4"/>
    <x v="0"/>
  </r>
  <r>
    <x v="1"/>
    <d v="2021-04-09T00:00:00"/>
    <x v="16"/>
    <x v="1"/>
    <n v="2"/>
    <x v="5"/>
    <x v="4"/>
  </r>
  <r>
    <x v="1"/>
    <d v="2021-04-09T00:00:00"/>
    <x v="16"/>
    <x v="1"/>
    <n v="2"/>
    <x v="5"/>
    <x v="4"/>
  </r>
  <r>
    <x v="1"/>
    <d v="2021-04-09T00:00:00"/>
    <x v="16"/>
    <x v="1"/>
    <n v="2"/>
    <x v="5"/>
    <x v="4"/>
  </r>
  <r>
    <x v="1"/>
    <d v="2021-04-12T00:00:00"/>
    <x v="16"/>
    <x v="1"/>
    <n v="1"/>
    <x v="6"/>
    <x v="1"/>
  </r>
  <r>
    <x v="1"/>
    <d v="2021-04-13T00:00:00"/>
    <x v="16"/>
    <x v="1"/>
    <n v="1"/>
    <x v="7"/>
    <x v="2"/>
  </r>
  <r>
    <x v="1"/>
    <d v="2021-04-13T00:00:00"/>
    <x v="16"/>
    <x v="1"/>
    <n v="1"/>
    <x v="7"/>
    <x v="2"/>
  </r>
  <r>
    <x v="1"/>
    <d v="2021-04-13T00:00:00"/>
    <x v="16"/>
    <x v="1"/>
    <n v="1"/>
    <x v="7"/>
    <x v="2"/>
  </r>
  <r>
    <x v="1"/>
    <d v="2021-04-14T00:00:00"/>
    <x v="16"/>
    <x v="1"/>
    <n v="1"/>
    <x v="8"/>
    <x v="3"/>
  </r>
  <r>
    <x v="1"/>
    <d v="2021-04-15T00:00:00"/>
    <x v="16"/>
    <x v="1"/>
    <n v="2"/>
    <x v="9"/>
    <x v="0"/>
  </r>
  <r>
    <x v="1"/>
    <d v="2021-04-16T00:00:00"/>
    <x v="16"/>
    <x v="1"/>
    <n v="1"/>
    <x v="10"/>
    <x v="4"/>
  </r>
  <r>
    <x v="1"/>
    <d v="2021-04-16T00:00:00"/>
    <x v="16"/>
    <x v="1"/>
    <n v="2"/>
    <x v="10"/>
    <x v="4"/>
  </r>
  <r>
    <x v="1"/>
    <d v="2021-04-16T00:00:00"/>
    <x v="16"/>
    <x v="1"/>
    <n v="2"/>
    <x v="10"/>
    <x v="4"/>
  </r>
  <r>
    <x v="1"/>
    <d v="2021-04-19T00:00:00"/>
    <x v="16"/>
    <x v="1"/>
    <n v="1"/>
    <x v="11"/>
    <x v="1"/>
  </r>
  <r>
    <x v="1"/>
    <d v="2021-04-19T00:00:00"/>
    <x v="16"/>
    <x v="1"/>
    <n v="1"/>
    <x v="11"/>
    <x v="1"/>
  </r>
  <r>
    <x v="1"/>
    <d v="2021-04-20T00:00:00"/>
    <x v="16"/>
    <x v="1"/>
    <n v="2"/>
    <x v="12"/>
    <x v="2"/>
  </r>
  <r>
    <x v="1"/>
    <d v="2021-04-20T00:00:00"/>
    <x v="16"/>
    <x v="1"/>
    <n v="2"/>
    <x v="12"/>
    <x v="2"/>
  </r>
  <r>
    <x v="1"/>
    <d v="2021-04-21T00:00:00"/>
    <x v="16"/>
    <x v="1"/>
    <n v="2"/>
    <x v="26"/>
    <x v="3"/>
  </r>
  <r>
    <x v="1"/>
    <d v="2021-04-22T00:00:00"/>
    <x v="16"/>
    <x v="1"/>
    <n v="2"/>
    <x v="13"/>
    <x v="0"/>
  </r>
  <r>
    <x v="1"/>
    <d v="2021-04-23T00:00:00"/>
    <x v="16"/>
    <x v="1"/>
    <n v="2"/>
    <x v="14"/>
    <x v="4"/>
  </r>
  <r>
    <x v="1"/>
    <d v="2021-04-26T00:00:00"/>
    <x v="16"/>
    <x v="1"/>
    <n v="1"/>
    <x v="15"/>
    <x v="1"/>
  </r>
  <r>
    <x v="1"/>
    <d v="2021-04-27T00:00:00"/>
    <x v="16"/>
    <x v="1"/>
    <n v="2"/>
    <x v="16"/>
    <x v="2"/>
  </r>
  <r>
    <x v="1"/>
    <d v="2021-04-27T00:00:00"/>
    <x v="16"/>
    <x v="1"/>
    <n v="2"/>
    <x v="16"/>
    <x v="2"/>
  </r>
  <r>
    <x v="1"/>
    <d v="2021-04-27T00:00:00"/>
    <x v="16"/>
    <x v="1"/>
    <n v="2"/>
    <x v="16"/>
    <x v="2"/>
  </r>
  <r>
    <x v="1"/>
    <d v="2021-04-28T00:00:00"/>
    <x v="16"/>
    <x v="1"/>
    <n v="1"/>
    <x v="17"/>
    <x v="3"/>
  </r>
  <r>
    <x v="1"/>
    <d v="2021-04-29T00:00:00"/>
    <x v="16"/>
    <x v="1"/>
    <n v="2"/>
    <x v="18"/>
    <x v="0"/>
  </r>
  <r>
    <x v="1"/>
    <d v="2021-04-30T00:00:00"/>
    <x v="16"/>
    <x v="1"/>
    <n v="2"/>
    <x v="19"/>
    <x v="4"/>
  </r>
  <r>
    <x v="1"/>
    <d v="2021-04-30T00:00:00"/>
    <x v="16"/>
    <x v="1"/>
    <n v="1"/>
    <x v="19"/>
    <x v="4"/>
  </r>
  <r>
    <x v="1"/>
    <d v="2021-04-01T00:00:00"/>
    <x v="17"/>
    <x v="1"/>
    <n v="1"/>
    <x v="0"/>
    <x v="0"/>
  </r>
  <r>
    <x v="1"/>
    <d v="2021-04-05T00:00:00"/>
    <x v="17"/>
    <x v="1"/>
    <n v="1"/>
    <x v="1"/>
    <x v="1"/>
  </r>
  <r>
    <x v="1"/>
    <d v="2021-04-06T00:00:00"/>
    <x v="17"/>
    <x v="1"/>
    <n v="1"/>
    <x v="2"/>
    <x v="2"/>
  </r>
  <r>
    <x v="1"/>
    <d v="2021-04-07T00:00:00"/>
    <x v="17"/>
    <x v="1"/>
    <n v="1"/>
    <x v="3"/>
    <x v="3"/>
  </r>
  <r>
    <x v="1"/>
    <d v="2021-04-08T00:00:00"/>
    <x v="17"/>
    <x v="1"/>
    <n v="1"/>
    <x v="4"/>
    <x v="0"/>
  </r>
  <r>
    <x v="1"/>
    <d v="2021-04-09T00:00:00"/>
    <x v="17"/>
    <x v="1"/>
    <n v="1"/>
    <x v="5"/>
    <x v="4"/>
  </r>
  <r>
    <x v="1"/>
    <d v="2021-04-12T00:00:00"/>
    <x v="17"/>
    <x v="1"/>
    <n v="2"/>
    <x v="6"/>
    <x v="1"/>
  </r>
  <r>
    <x v="1"/>
    <d v="2021-04-13T00:00:00"/>
    <x v="17"/>
    <x v="1"/>
    <n v="1"/>
    <x v="7"/>
    <x v="2"/>
  </r>
  <r>
    <x v="1"/>
    <d v="2021-04-14T00:00:00"/>
    <x v="17"/>
    <x v="1"/>
    <n v="2"/>
    <x v="8"/>
    <x v="3"/>
  </r>
  <r>
    <x v="1"/>
    <d v="2021-04-15T00:00:00"/>
    <x v="17"/>
    <x v="1"/>
    <n v="2"/>
    <x v="9"/>
    <x v="0"/>
  </r>
  <r>
    <x v="1"/>
    <d v="2021-04-16T00:00:00"/>
    <x v="17"/>
    <x v="1"/>
    <n v="2"/>
    <x v="10"/>
    <x v="4"/>
  </r>
  <r>
    <x v="1"/>
    <d v="2021-04-16T00:00:00"/>
    <x v="17"/>
    <x v="1"/>
    <n v="1"/>
    <x v="10"/>
    <x v="4"/>
  </r>
  <r>
    <x v="1"/>
    <d v="2021-04-19T00:00:00"/>
    <x v="17"/>
    <x v="1"/>
    <n v="1"/>
    <x v="11"/>
    <x v="1"/>
  </r>
  <r>
    <x v="1"/>
    <d v="2021-04-20T00:00:00"/>
    <x v="17"/>
    <x v="1"/>
    <n v="1"/>
    <x v="12"/>
    <x v="2"/>
  </r>
  <r>
    <x v="1"/>
    <d v="2021-04-22T00:00:00"/>
    <x v="17"/>
    <x v="1"/>
    <n v="1"/>
    <x v="13"/>
    <x v="0"/>
  </r>
  <r>
    <x v="1"/>
    <d v="2021-04-23T00:00:00"/>
    <x v="17"/>
    <x v="1"/>
    <n v="1"/>
    <x v="14"/>
    <x v="4"/>
  </r>
  <r>
    <x v="1"/>
    <d v="2021-04-23T00:00:00"/>
    <x v="17"/>
    <x v="1"/>
    <n v="1"/>
    <x v="14"/>
    <x v="4"/>
  </r>
  <r>
    <x v="1"/>
    <d v="2021-04-26T00:00:00"/>
    <x v="17"/>
    <x v="1"/>
    <n v="2"/>
    <x v="15"/>
    <x v="1"/>
  </r>
  <r>
    <x v="1"/>
    <d v="2021-04-27T00:00:00"/>
    <x v="17"/>
    <x v="1"/>
    <n v="2"/>
    <x v="16"/>
    <x v="2"/>
  </r>
  <r>
    <x v="1"/>
    <d v="2021-04-28T00:00:00"/>
    <x v="17"/>
    <x v="1"/>
    <n v="2"/>
    <x v="17"/>
    <x v="3"/>
  </r>
  <r>
    <x v="1"/>
    <d v="2021-04-29T00:00:00"/>
    <x v="17"/>
    <x v="1"/>
    <n v="2"/>
    <x v="18"/>
    <x v="0"/>
  </r>
  <r>
    <x v="1"/>
    <d v="2021-04-30T00:00:00"/>
    <x v="17"/>
    <x v="1"/>
    <n v="1"/>
    <x v="19"/>
    <x v="4"/>
  </r>
  <r>
    <x v="1"/>
    <d v="2021-04-30T00:00:00"/>
    <x v="17"/>
    <x v="1"/>
    <n v="1"/>
    <x v="19"/>
    <x v="4"/>
  </r>
  <r>
    <x v="1"/>
    <d v="2021-04-30T00:00:00"/>
    <x v="17"/>
    <x v="1"/>
    <n v="2"/>
    <x v="19"/>
    <x v="4"/>
  </r>
  <r>
    <x v="1"/>
    <d v="2021-04-30T00:00:00"/>
    <x v="17"/>
    <x v="1"/>
    <n v="1"/>
    <x v="19"/>
    <x v="4"/>
  </r>
  <r>
    <x v="1"/>
    <d v="2021-04-05T00:00:00"/>
    <x v="18"/>
    <x v="1"/>
    <n v="2"/>
    <x v="1"/>
    <x v="1"/>
  </r>
  <r>
    <x v="1"/>
    <d v="2021-04-06T00:00:00"/>
    <x v="18"/>
    <x v="1"/>
    <n v="1"/>
    <x v="2"/>
    <x v="2"/>
  </r>
  <r>
    <x v="1"/>
    <d v="2021-04-07T00:00:00"/>
    <x v="18"/>
    <x v="1"/>
    <n v="1"/>
    <x v="3"/>
    <x v="3"/>
  </r>
  <r>
    <x v="1"/>
    <d v="2021-04-08T00:00:00"/>
    <x v="18"/>
    <x v="1"/>
    <n v="2"/>
    <x v="4"/>
    <x v="0"/>
  </r>
  <r>
    <x v="1"/>
    <d v="2021-04-09T00:00:00"/>
    <x v="18"/>
    <x v="1"/>
    <n v="2"/>
    <x v="5"/>
    <x v="4"/>
  </r>
  <r>
    <x v="1"/>
    <d v="2021-04-12T00:00:00"/>
    <x v="18"/>
    <x v="1"/>
    <n v="2"/>
    <x v="6"/>
    <x v="1"/>
  </r>
  <r>
    <x v="1"/>
    <d v="2021-04-13T00:00:00"/>
    <x v="18"/>
    <x v="1"/>
    <n v="2"/>
    <x v="7"/>
    <x v="2"/>
  </r>
  <r>
    <x v="1"/>
    <d v="2021-04-14T00:00:00"/>
    <x v="18"/>
    <x v="1"/>
    <n v="1"/>
    <x v="8"/>
    <x v="3"/>
  </r>
  <r>
    <x v="1"/>
    <d v="2021-04-15T00:00:00"/>
    <x v="18"/>
    <x v="1"/>
    <n v="1"/>
    <x v="9"/>
    <x v="0"/>
  </r>
  <r>
    <x v="1"/>
    <d v="2021-04-16T00:00:00"/>
    <x v="18"/>
    <x v="1"/>
    <n v="2"/>
    <x v="10"/>
    <x v="4"/>
  </r>
  <r>
    <x v="1"/>
    <d v="2021-04-19T00:00:00"/>
    <x v="18"/>
    <x v="1"/>
    <n v="2"/>
    <x v="11"/>
    <x v="1"/>
  </r>
  <r>
    <x v="1"/>
    <d v="2021-04-20T00:00:00"/>
    <x v="18"/>
    <x v="1"/>
    <n v="1"/>
    <x v="12"/>
    <x v="2"/>
  </r>
  <r>
    <x v="1"/>
    <d v="2021-04-22T00:00:00"/>
    <x v="18"/>
    <x v="1"/>
    <n v="1"/>
    <x v="13"/>
    <x v="0"/>
  </r>
  <r>
    <x v="1"/>
    <d v="2021-04-23T00:00:00"/>
    <x v="18"/>
    <x v="1"/>
    <n v="1"/>
    <x v="14"/>
    <x v="4"/>
  </r>
  <r>
    <x v="1"/>
    <d v="2021-04-26T00:00:00"/>
    <x v="18"/>
    <x v="1"/>
    <n v="1"/>
    <x v="15"/>
    <x v="1"/>
  </r>
  <r>
    <x v="1"/>
    <d v="2021-04-27T00:00:00"/>
    <x v="18"/>
    <x v="1"/>
    <n v="1"/>
    <x v="16"/>
    <x v="2"/>
  </r>
  <r>
    <x v="1"/>
    <d v="2021-04-28T00:00:00"/>
    <x v="18"/>
    <x v="1"/>
    <n v="2"/>
    <x v="17"/>
    <x v="3"/>
  </r>
  <r>
    <x v="1"/>
    <d v="2021-04-29T00:00:00"/>
    <x v="18"/>
    <x v="1"/>
    <n v="2"/>
    <x v="18"/>
    <x v="0"/>
  </r>
  <r>
    <x v="1"/>
    <d v="2021-04-30T00:00:00"/>
    <x v="18"/>
    <x v="1"/>
    <n v="1"/>
    <x v="19"/>
    <x v="4"/>
  </r>
  <r>
    <x v="1"/>
    <d v="2021-04-01T00:00:00"/>
    <x v="19"/>
    <x v="1"/>
    <n v="1"/>
    <x v="0"/>
    <x v="0"/>
  </r>
  <r>
    <x v="1"/>
    <d v="2021-04-05T00:00:00"/>
    <x v="19"/>
    <x v="1"/>
    <n v="2"/>
    <x v="1"/>
    <x v="1"/>
  </r>
  <r>
    <x v="1"/>
    <d v="2021-04-06T00:00:00"/>
    <x v="19"/>
    <x v="1"/>
    <n v="2"/>
    <x v="2"/>
    <x v="2"/>
  </r>
  <r>
    <x v="1"/>
    <d v="2021-04-07T00:00:00"/>
    <x v="19"/>
    <x v="1"/>
    <n v="2"/>
    <x v="3"/>
    <x v="3"/>
  </r>
  <r>
    <x v="1"/>
    <d v="2021-04-08T00:00:00"/>
    <x v="19"/>
    <x v="1"/>
    <n v="1"/>
    <x v="4"/>
    <x v="0"/>
  </r>
  <r>
    <x v="1"/>
    <d v="2021-04-09T00:00:00"/>
    <x v="19"/>
    <x v="1"/>
    <n v="1"/>
    <x v="5"/>
    <x v="4"/>
  </r>
  <r>
    <x v="1"/>
    <d v="2021-04-12T00:00:00"/>
    <x v="19"/>
    <x v="1"/>
    <n v="1"/>
    <x v="6"/>
    <x v="1"/>
  </r>
  <r>
    <x v="1"/>
    <d v="2021-04-13T00:00:00"/>
    <x v="19"/>
    <x v="1"/>
    <n v="1"/>
    <x v="7"/>
    <x v="2"/>
  </r>
  <r>
    <x v="1"/>
    <d v="2021-04-14T00:00:00"/>
    <x v="19"/>
    <x v="1"/>
    <n v="1"/>
    <x v="8"/>
    <x v="3"/>
  </r>
  <r>
    <x v="1"/>
    <d v="2021-04-15T00:00:00"/>
    <x v="19"/>
    <x v="1"/>
    <n v="1"/>
    <x v="9"/>
    <x v="0"/>
  </r>
  <r>
    <x v="1"/>
    <d v="2021-04-16T00:00:00"/>
    <x v="19"/>
    <x v="1"/>
    <n v="1"/>
    <x v="10"/>
    <x v="4"/>
  </r>
  <r>
    <x v="1"/>
    <d v="2021-04-19T00:00:00"/>
    <x v="19"/>
    <x v="1"/>
    <n v="2"/>
    <x v="11"/>
    <x v="1"/>
  </r>
  <r>
    <x v="1"/>
    <d v="2021-04-20T00:00:00"/>
    <x v="19"/>
    <x v="1"/>
    <n v="1"/>
    <x v="12"/>
    <x v="2"/>
  </r>
  <r>
    <x v="1"/>
    <d v="2021-04-22T00:00:00"/>
    <x v="19"/>
    <x v="1"/>
    <n v="2"/>
    <x v="13"/>
    <x v="0"/>
  </r>
  <r>
    <x v="1"/>
    <d v="2021-04-22T00:00:00"/>
    <x v="19"/>
    <x v="1"/>
    <n v="1"/>
    <x v="13"/>
    <x v="0"/>
  </r>
  <r>
    <x v="1"/>
    <d v="2021-04-22T00:00:00"/>
    <x v="19"/>
    <x v="1"/>
    <n v="2"/>
    <x v="13"/>
    <x v="0"/>
  </r>
  <r>
    <x v="1"/>
    <d v="2021-04-23T00:00:00"/>
    <x v="19"/>
    <x v="1"/>
    <n v="1"/>
    <x v="14"/>
    <x v="4"/>
  </r>
  <r>
    <x v="1"/>
    <d v="2021-04-26T00:00:00"/>
    <x v="19"/>
    <x v="1"/>
    <n v="2"/>
    <x v="15"/>
    <x v="1"/>
  </r>
  <r>
    <x v="1"/>
    <d v="2021-04-27T00:00:00"/>
    <x v="19"/>
    <x v="1"/>
    <n v="1"/>
    <x v="16"/>
    <x v="2"/>
  </r>
  <r>
    <x v="1"/>
    <d v="2021-04-28T00:00:00"/>
    <x v="19"/>
    <x v="1"/>
    <n v="2"/>
    <x v="17"/>
    <x v="3"/>
  </r>
  <r>
    <x v="1"/>
    <d v="2021-04-29T00:00:00"/>
    <x v="19"/>
    <x v="1"/>
    <n v="2"/>
    <x v="18"/>
    <x v="0"/>
  </r>
  <r>
    <x v="1"/>
    <d v="2021-04-30T00:00:00"/>
    <x v="19"/>
    <x v="1"/>
    <n v="2"/>
    <x v="19"/>
    <x v="4"/>
  </r>
  <r>
    <x v="1"/>
    <d v="2021-04-30T00:00:00"/>
    <x v="19"/>
    <x v="1"/>
    <n v="2"/>
    <x v="19"/>
    <x v="4"/>
  </r>
  <r>
    <x v="1"/>
    <d v="2021-04-30T00:00:00"/>
    <x v="19"/>
    <x v="1"/>
    <n v="2"/>
    <x v="19"/>
    <x v="4"/>
  </r>
  <r>
    <x v="1"/>
    <d v="2021-04-30T00:00:00"/>
    <x v="19"/>
    <x v="1"/>
    <n v="1"/>
    <x v="19"/>
    <x v="4"/>
  </r>
  <r>
    <x v="1"/>
    <d v="2021-04-01T00:00:00"/>
    <x v="20"/>
    <x v="1"/>
    <n v="1"/>
    <x v="0"/>
    <x v="0"/>
  </r>
  <r>
    <x v="1"/>
    <d v="2021-04-01T00:00:00"/>
    <x v="20"/>
    <x v="1"/>
    <n v="2"/>
    <x v="0"/>
    <x v="0"/>
  </r>
  <r>
    <x v="1"/>
    <d v="2021-04-05T00:00:00"/>
    <x v="20"/>
    <x v="1"/>
    <n v="1"/>
    <x v="1"/>
    <x v="1"/>
  </r>
  <r>
    <x v="1"/>
    <d v="2021-04-06T00:00:00"/>
    <x v="20"/>
    <x v="1"/>
    <n v="2"/>
    <x v="2"/>
    <x v="2"/>
  </r>
  <r>
    <x v="1"/>
    <d v="2021-04-07T00:00:00"/>
    <x v="20"/>
    <x v="1"/>
    <n v="1"/>
    <x v="3"/>
    <x v="3"/>
  </r>
  <r>
    <x v="1"/>
    <d v="2021-04-08T00:00:00"/>
    <x v="20"/>
    <x v="1"/>
    <n v="2"/>
    <x v="4"/>
    <x v="0"/>
  </r>
  <r>
    <x v="1"/>
    <d v="2021-04-09T00:00:00"/>
    <x v="20"/>
    <x v="1"/>
    <n v="2"/>
    <x v="5"/>
    <x v="4"/>
  </r>
  <r>
    <x v="1"/>
    <d v="2021-04-12T00:00:00"/>
    <x v="20"/>
    <x v="1"/>
    <n v="1"/>
    <x v="6"/>
    <x v="1"/>
  </r>
  <r>
    <x v="1"/>
    <d v="2021-04-13T00:00:00"/>
    <x v="20"/>
    <x v="1"/>
    <n v="1"/>
    <x v="7"/>
    <x v="2"/>
  </r>
  <r>
    <x v="1"/>
    <d v="2021-04-14T00:00:00"/>
    <x v="20"/>
    <x v="1"/>
    <n v="1"/>
    <x v="8"/>
    <x v="3"/>
  </r>
  <r>
    <x v="1"/>
    <d v="2021-04-15T00:00:00"/>
    <x v="20"/>
    <x v="1"/>
    <n v="1"/>
    <x v="9"/>
    <x v="0"/>
  </r>
  <r>
    <x v="1"/>
    <d v="2021-04-16T00:00:00"/>
    <x v="20"/>
    <x v="1"/>
    <n v="1"/>
    <x v="10"/>
    <x v="4"/>
  </r>
  <r>
    <x v="1"/>
    <d v="2021-04-19T00:00:00"/>
    <x v="20"/>
    <x v="1"/>
    <n v="1"/>
    <x v="11"/>
    <x v="1"/>
  </r>
  <r>
    <x v="1"/>
    <d v="2021-04-20T00:00:00"/>
    <x v="20"/>
    <x v="1"/>
    <n v="1"/>
    <x v="12"/>
    <x v="2"/>
  </r>
  <r>
    <x v="1"/>
    <d v="2021-04-22T00:00:00"/>
    <x v="20"/>
    <x v="1"/>
    <n v="1"/>
    <x v="13"/>
    <x v="0"/>
  </r>
  <r>
    <x v="1"/>
    <d v="2021-04-23T00:00:00"/>
    <x v="20"/>
    <x v="1"/>
    <n v="1"/>
    <x v="14"/>
    <x v="4"/>
  </r>
  <r>
    <x v="1"/>
    <d v="2021-04-26T00:00:00"/>
    <x v="20"/>
    <x v="1"/>
    <n v="1"/>
    <x v="15"/>
    <x v="1"/>
  </r>
  <r>
    <x v="1"/>
    <d v="2021-04-27T00:00:00"/>
    <x v="20"/>
    <x v="1"/>
    <n v="2"/>
    <x v="16"/>
    <x v="2"/>
  </r>
  <r>
    <x v="1"/>
    <d v="2021-04-28T00:00:00"/>
    <x v="20"/>
    <x v="1"/>
    <n v="2"/>
    <x v="17"/>
    <x v="3"/>
  </r>
  <r>
    <x v="1"/>
    <d v="2021-04-29T00:00:00"/>
    <x v="20"/>
    <x v="1"/>
    <n v="2"/>
    <x v="18"/>
    <x v="0"/>
  </r>
  <r>
    <x v="1"/>
    <d v="2021-04-30T00:00:00"/>
    <x v="20"/>
    <x v="1"/>
    <n v="1"/>
    <x v="19"/>
    <x v="4"/>
  </r>
  <r>
    <x v="1"/>
    <d v="2021-04-30T00:00:00"/>
    <x v="20"/>
    <x v="1"/>
    <n v="1"/>
    <x v="19"/>
    <x v="4"/>
  </r>
  <r>
    <x v="1"/>
    <d v="2021-04-01T00:00:00"/>
    <x v="21"/>
    <x v="1"/>
    <n v="2"/>
    <x v="0"/>
    <x v="0"/>
  </r>
  <r>
    <x v="1"/>
    <d v="2021-04-01T00:00:00"/>
    <x v="21"/>
    <x v="1"/>
    <n v="1"/>
    <x v="0"/>
    <x v="0"/>
  </r>
  <r>
    <x v="1"/>
    <d v="2021-04-03T00:00:00"/>
    <x v="21"/>
    <x v="1"/>
    <n v="2"/>
    <x v="21"/>
    <x v="5"/>
  </r>
  <r>
    <x v="1"/>
    <d v="2021-04-05T00:00:00"/>
    <x v="21"/>
    <x v="1"/>
    <n v="1"/>
    <x v="1"/>
    <x v="1"/>
  </r>
  <r>
    <x v="1"/>
    <d v="2021-04-06T00:00:00"/>
    <x v="21"/>
    <x v="1"/>
    <n v="2"/>
    <x v="2"/>
    <x v="2"/>
  </r>
  <r>
    <x v="1"/>
    <d v="2021-04-06T00:00:00"/>
    <x v="21"/>
    <x v="1"/>
    <n v="2"/>
    <x v="2"/>
    <x v="2"/>
  </r>
  <r>
    <x v="1"/>
    <d v="2021-04-07T00:00:00"/>
    <x v="21"/>
    <x v="1"/>
    <n v="1"/>
    <x v="3"/>
    <x v="3"/>
  </r>
  <r>
    <x v="1"/>
    <d v="2021-04-07T00:00:00"/>
    <x v="21"/>
    <x v="1"/>
    <n v="1"/>
    <x v="3"/>
    <x v="3"/>
  </r>
  <r>
    <x v="1"/>
    <d v="2021-04-08T00:00:00"/>
    <x v="21"/>
    <x v="1"/>
    <n v="2"/>
    <x v="4"/>
    <x v="0"/>
  </r>
  <r>
    <x v="1"/>
    <d v="2021-04-08T00:00:00"/>
    <x v="21"/>
    <x v="1"/>
    <n v="2"/>
    <x v="4"/>
    <x v="0"/>
  </r>
  <r>
    <x v="1"/>
    <d v="2021-04-11T00:00:00"/>
    <x v="21"/>
    <x v="1"/>
    <n v="2"/>
    <x v="24"/>
    <x v="5"/>
  </r>
  <r>
    <x v="1"/>
    <d v="2021-04-12T00:00:00"/>
    <x v="21"/>
    <x v="1"/>
    <n v="2"/>
    <x v="6"/>
    <x v="1"/>
  </r>
  <r>
    <x v="1"/>
    <d v="2021-04-12T00:00:00"/>
    <x v="21"/>
    <x v="1"/>
    <n v="2"/>
    <x v="6"/>
    <x v="1"/>
  </r>
  <r>
    <x v="1"/>
    <d v="2021-04-13T00:00:00"/>
    <x v="21"/>
    <x v="1"/>
    <n v="1"/>
    <x v="7"/>
    <x v="2"/>
  </r>
  <r>
    <x v="1"/>
    <d v="2021-04-13T00:00:00"/>
    <x v="21"/>
    <x v="1"/>
    <n v="2"/>
    <x v="7"/>
    <x v="2"/>
  </r>
  <r>
    <x v="1"/>
    <d v="2021-04-14T00:00:00"/>
    <x v="21"/>
    <x v="1"/>
    <n v="2"/>
    <x v="8"/>
    <x v="3"/>
  </r>
  <r>
    <x v="1"/>
    <d v="2021-04-15T00:00:00"/>
    <x v="21"/>
    <x v="1"/>
    <n v="1"/>
    <x v="9"/>
    <x v="0"/>
  </r>
  <r>
    <x v="1"/>
    <d v="2021-04-16T00:00:00"/>
    <x v="21"/>
    <x v="1"/>
    <n v="1"/>
    <x v="10"/>
    <x v="4"/>
  </r>
  <r>
    <x v="1"/>
    <d v="2021-04-16T00:00:00"/>
    <x v="21"/>
    <x v="1"/>
    <n v="2"/>
    <x v="10"/>
    <x v="4"/>
  </r>
  <r>
    <x v="1"/>
    <d v="2021-04-19T00:00:00"/>
    <x v="21"/>
    <x v="1"/>
    <n v="2"/>
    <x v="11"/>
    <x v="1"/>
  </r>
  <r>
    <x v="1"/>
    <d v="2021-04-19T00:00:00"/>
    <x v="21"/>
    <x v="1"/>
    <n v="2"/>
    <x v="11"/>
    <x v="1"/>
  </r>
  <r>
    <x v="1"/>
    <d v="2021-04-19T00:00:00"/>
    <x v="21"/>
    <x v="1"/>
    <n v="1"/>
    <x v="11"/>
    <x v="1"/>
  </r>
  <r>
    <x v="1"/>
    <d v="2021-04-20T00:00:00"/>
    <x v="21"/>
    <x v="1"/>
    <n v="2"/>
    <x v="12"/>
    <x v="2"/>
  </r>
  <r>
    <x v="1"/>
    <d v="2021-04-20T00:00:00"/>
    <x v="21"/>
    <x v="1"/>
    <n v="2"/>
    <x v="12"/>
    <x v="2"/>
  </r>
  <r>
    <x v="1"/>
    <d v="2021-04-20T00:00:00"/>
    <x v="21"/>
    <x v="1"/>
    <n v="2"/>
    <x v="12"/>
    <x v="2"/>
  </r>
  <r>
    <x v="1"/>
    <d v="2021-04-22T00:00:00"/>
    <x v="21"/>
    <x v="1"/>
    <n v="2"/>
    <x v="13"/>
    <x v="0"/>
  </r>
  <r>
    <x v="1"/>
    <d v="2021-04-22T00:00:00"/>
    <x v="21"/>
    <x v="1"/>
    <n v="2"/>
    <x v="13"/>
    <x v="0"/>
  </r>
  <r>
    <x v="1"/>
    <d v="2021-04-22T00:00:00"/>
    <x v="21"/>
    <x v="1"/>
    <n v="2"/>
    <x v="13"/>
    <x v="0"/>
  </r>
  <r>
    <x v="1"/>
    <d v="2021-04-22T00:00:00"/>
    <x v="21"/>
    <x v="1"/>
    <n v="2"/>
    <x v="13"/>
    <x v="0"/>
  </r>
  <r>
    <x v="1"/>
    <d v="2021-04-23T00:00:00"/>
    <x v="21"/>
    <x v="1"/>
    <n v="2"/>
    <x v="14"/>
    <x v="4"/>
  </r>
  <r>
    <x v="1"/>
    <d v="2021-04-23T00:00:00"/>
    <x v="21"/>
    <x v="1"/>
    <n v="2"/>
    <x v="14"/>
    <x v="4"/>
  </r>
  <r>
    <x v="1"/>
    <d v="2021-04-26T00:00:00"/>
    <x v="21"/>
    <x v="1"/>
    <n v="1"/>
    <x v="15"/>
    <x v="1"/>
  </r>
  <r>
    <x v="1"/>
    <d v="2021-04-27T00:00:00"/>
    <x v="21"/>
    <x v="1"/>
    <n v="1"/>
    <x v="16"/>
    <x v="2"/>
  </r>
  <r>
    <x v="1"/>
    <d v="2021-04-28T00:00:00"/>
    <x v="21"/>
    <x v="1"/>
    <n v="2"/>
    <x v="17"/>
    <x v="3"/>
  </r>
  <r>
    <x v="1"/>
    <d v="2021-04-28T00:00:00"/>
    <x v="21"/>
    <x v="1"/>
    <n v="1"/>
    <x v="17"/>
    <x v="3"/>
  </r>
  <r>
    <x v="1"/>
    <d v="2021-04-29T00:00:00"/>
    <x v="21"/>
    <x v="1"/>
    <n v="2"/>
    <x v="18"/>
    <x v="0"/>
  </r>
  <r>
    <x v="1"/>
    <d v="2021-04-30T00:00:00"/>
    <x v="21"/>
    <x v="1"/>
    <n v="2"/>
    <x v="19"/>
    <x v="4"/>
  </r>
  <r>
    <x v="1"/>
    <d v="2021-04-30T00:00:00"/>
    <x v="21"/>
    <x v="1"/>
    <n v="1"/>
    <x v="19"/>
    <x v="4"/>
  </r>
  <r>
    <x v="1"/>
    <d v="2021-04-30T00:00:00"/>
    <x v="21"/>
    <x v="1"/>
    <n v="1"/>
    <x v="19"/>
    <x v="4"/>
  </r>
  <r>
    <x v="1"/>
    <d v="2021-04-01T00:00:00"/>
    <x v="22"/>
    <x v="1"/>
    <n v="1"/>
    <x v="0"/>
    <x v="0"/>
  </r>
  <r>
    <x v="1"/>
    <d v="2021-04-01T00:00:00"/>
    <x v="22"/>
    <x v="1"/>
    <n v="1"/>
    <x v="0"/>
    <x v="0"/>
  </r>
  <r>
    <x v="1"/>
    <d v="2021-04-02T00:00:00"/>
    <x v="22"/>
    <x v="1"/>
    <n v="1"/>
    <x v="27"/>
    <x v="4"/>
  </r>
  <r>
    <x v="1"/>
    <d v="2021-04-03T00:00:00"/>
    <x v="22"/>
    <x v="1"/>
    <n v="2"/>
    <x v="21"/>
    <x v="5"/>
  </r>
  <r>
    <x v="1"/>
    <d v="2021-04-03T00:00:00"/>
    <x v="22"/>
    <x v="1"/>
    <n v="1"/>
    <x v="21"/>
    <x v="5"/>
  </r>
  <r>
    <x v="1"/>
    <d v="2021-04-05T00:00:00"/>
    <x v="22"/>
    <x v="1"/>
    <n v="1"/>
    <x v="1"/>
    <x v="1"/>
  </r>
  <r>
    <x v="1"/>
    <d v="2021-04-05T00:00:00"/>
    <x v="22"/>
    <x v="1"/>
    <n v="1"/>
    <x v="1"/>
    <x v="1"/>
  </r>
  <r>
    <x v="1"/>
    <d v="2021-04-05T00:00:00"/>
    <x v="22"/>
    <x v="1"/>
    <n v="1"/>
    <x v="1"/>
    <x v="1"/>
  </r>
  <r>
    <x v="1"/>
    <d v="2021-04-05T00:00:00"/>
    <x v="22"/>
    <x v="1"/>
    <n v="1"/>
    <x v="1"/>
    <x v="1"/>
  </r>
  <r>
    <x v="1"/>
    <d v="2021-04-06T00:00:00"/>
    <x v="22"/>
    <x v="1"/>
    <n v="1"/>
    <x v="2"/>
    <x v="2"/>
  </r>
  <r>
    <x v="1"/>
    <d v="2021-04-07T00:00:00"/>
    <x v="22"/>
    <x v="1"/>
    <n v="2"/>
    <x v="3"/>
    <x v="3"/>
  </r>
  <r>
    <x v="1"/>
    <d v="2021-04-08T00:00:00"/>
    <x v="22"/>
    <x v="1"/>
    <n v="1"/>
    <x v="4"/>
    <x v="0"/>
  </r>
  <r>
    <x v="1"/>
    <d v="2021-04-08T00:00:00"/>
    <x v="22"/>
    <x v="1"/>
    <n v="1"/>
    <x v="4"/>
    <x v="0"/>
  </r>
  <r>
    <x v="1"/>
    <d v="2021-04-10T00:00:00"/>
    <x v="22"/>
    <x v="1"/>
    <n v="2"/>
    <x v="23"/>
    <x v="5"/>
  </r>
  <r>
    <x v="1"/>
    <d v="2021-04-10T00:00:00"/>
    <x v="22"/>
    <x v="1"/>
    <n v="1"/>
    <x v="23"/>
    <x v="5"/>
  </r>
  <r>
    <x v="1"/>
    <d v="2021-04-10T00:00:00"/>
    <x v="22"/>
    <x v="1"/>
    <n v="1"/>
    <x v="23"/>
    <x v="5"/>
  </r>
  <r>
    <x v="1"/>
    <d v="2021-04-10T00:00:00"/>
    <x v="22"/>
    <x v="1"/>
    <n v="1"/>
    <x v="23"/>
    <x v="5"/>
  </r>
  <r>
    <x v="1"/>
    <d v="2021-04-11T00:00:00"/>
    <x v="22"/>
    <x v="1"/>
    <n v="2"/>
    <x v="24"/>
    <x v="5"/>
  </r>
  <r>
    <x v="1"/>
    <d v="2021-04-12T00:00:00"/>
    <x v="22"/>
    <x v="1"/>
    <n v="1"/>
    <x v="6"/>
    <x v="1"/>
  </r>
  <r>
    <x v="1"/>
    <d v="2021-04-13T00:00:00"/>
    <x v="22"/>
    <x v="1"/>
    <n v="1"/>
    <x v="7"/>
    <x v="2"/>
  </r>
  <r>
    <x v="1"/>
    <d v="2021-04-13T00:00:00"/>
    <x v="22"/>
    <x v="1"/>
    <n v="1"/>
    <x v="7"/>
    <x v="2"/>
  </r>
  <r>
    <x v="1"/>
    <d v="2021-04-15T00:00:00"/>
    <x v="22"/>
    <x v="0"/>
    <n v="2"/>
    <x v="9"/>
    <x v="0"/>
  </r>
  <r>
    <x v="1"/>
    <d v="2021-04-15T00:00:00"/>
    <x v="22"/>
    <x v="0"/>
    <n v="2"/>
    <x v="9"/>
    <x v="0"/>
  </r>
  <r>
    <x v="1"/>
    <d v="2021-04-16T00:00:00"/>
    <x v="22"/>
    <x v="0"/>
    <n v="2"/>
    <x v="10"/>
    <x v="4"/>
  </r>
  <r>
    <x v="1"/>
    <d v="2021-04-17T00:00:00"/>
    <x v="22"/>
    <x v="0"/>
    <n v="1"/>
    <x v="20"/>
    <x v="5"/>
  </r>
  <r>
    <x v="1"/>
    <d v="2021-04-17T00:00:00"/>
    <x v="22"/>
    <x v="0"/>
    <n v="1"/>
    <x v="20"/>
    <x v="5"/>
  </r>
  <r>
    <x v="1"/>
    <d v="2021-04-18T00:00:00"/>
    <x v="22"/>
    <x v="0"/>
    <n v="2"/>
    <x v="25"/>
    <x v="5"/>
  </r>
  <r>
    <x v="1"/>
    <d v="2021-04-18T00:00:00"/>
    <x v="22"/>
    <x v="0"/>
    <n v="1"/>
    <x v="25"/>
    <x v="5"/>
  </r>
  <r>
    <x v="1"/>
    <d v="2021-04-18T00:00:00"/>
    <x v="22"/>
    <x v="0"/>
    <n v="2"/>
    <x v="25"/>
    <x v="5"/>
  </r>
  <r>
    <x v="1"/>
    <d v="2021-04-18T00:00:00"/>
    <x v="22"/>
    <x v="0"/>
    <n v="2"/>
    <x v="25"/>
    <x v="5"/>
  </r>
  <r>
    <x v="1"/>
    <d v="2021-04-20T00:00:00"/>
    <x v="22"/>
    <x v="0"/>
    <n v="1"/>
    <x v="12"/>
    <x v="2"/>
  </r>
  <r>
    <x v="1"/>
    <d v="2021-04-20T00:00:00"/>
    <x v="22"/>
    <x v="0"/>
    <n v="1"/>
    <x v="12"/>
    <x v="2"/>
  </r>
  <r>
    <x v="1"/>
    <d v="2021-04-20T00:00:00"/>
    <x v="22"/>
    <x v="0"/>
    <n v="1"/>
    <x v="12"/>
    <x v="2"/>
  </r>
  <r>
    <x v="1"/>
    <d v="2021-04-20T00:00:00"/>
    <x v="22"/>
    <x v="0"/>
    <n v="2"/>
    <x v="12"/>
    <x v="2"/>
  </r>
  <r>
    <x v="1"/>
    <d v="2021-04-21T00:00:00"/>
    <x v="22"/>
    <x v="0"/>
    <n v="1"/>
    <x v="26"/>
    <x v="3"/>
  </r>
  <r>
    <x v="1"/>
    <d v="2021-04-22T00:00:00"/>
    <x v="22"/>
    <x v="0"/>
    <n v="2"/>
    <x v="13"/>
    <x v="0"/>
  </r>
  <r>
    <x v="1"/>
    <d v="2021-04-23T00:00:00"/>
    <x v="22"/>
    <x v="0"/>
    <n v="2"/>
    <x v="14"/>
    <x v="4"/>
  </r>
  <r>
    <x v="1"/>
    <d v="2021-04-23T00:00:00"/>
    <x v="22"/>
    <x v="0"/>
    <n v="1"/>
    <x v="14"/>
    <x v="4"/>
  </r>
  <r>
    <x v="1"/>
    <d v="2021-04-23T00:00:00"/>
    <x v="22"/>
    <x v="0"/>
    <n v="1"/>
    <x v="14"/>
    <x v="4"/>
  </r>
  <r>
    <x v="1"/>
    <d v="2021-04-23T00:00:00"/>
    <x v="22"/>
    <x v="0"/>
    <n v="1"/>
    <x v="14"/>
    <x v="4"/>
  </r>
  <r>
    <x v="1"/>
    <d v="2021-04-25T00:00:00"/>
    <x v="22"/>
    <x v="0"/>
    <n v="1"/>
    <x v="28"/>
    <x v="5"/>
  </r>
  <r>
    <x v="1"/>
    <d v="2021-04-25T00:00:00"/>
    <x v="22"/>
    <x v="0"/>
    <n v="1"/>
    <x v="28"/>
    <x v="5"/>
  </r>
  <r>
    <x v="1"/>
    <d v="2021-04-25T00:00:00"/>
    <x v="22"/>
    <x v="0"/>
    <n v="1"/>
    <x v="28"/>
    <x v="5"/>
  </r>
  <r>
    <x v="1"/>
    <d v="2021-04-25T00:00:00"/>
    <x v="22"/>
    <x v="0"/>
    <n v="1"/>
    <x v="28"/>
    <x v="5"/>
  </r>
  <r>
    <x v="1"/>
    <d v="2021-04-26T00:00:00"/>
    <x v="22"/>
    <x v="0"/>
    <n v="2"/>
    <x v="15"/>
    <x v="1"/>
  </r>
  <r>
    <x v="1"/>
    <d v="2021-04-26T00:00:00"/>
    <x v="22"/>
    <x v="0"/>
    <n v="2"/>
    <x v="15"/>
    <x v="1"/>
  </r>
  <r>
    <x v="1"/>
    <d v="2021-04-27T00:00:00"/>
    <x v="22"/>
    <x v="0"/>
    <n v="1"/>
    <x v="16"/>
    <x v="2"/>
  </r>
  <r>
    <x v="1"/>
    <d v="2021-04-27T00:00:00"/>
    <x v="22"/>
    <x v="0"/>
    <n v="2"/>
    <x v="16"/>
    <x v="2"/>
  </r>
  <r>
    <x v="1"/>
    <d v="2021-04-28T00:00:00"/>
    <x v="22"/>
    <x v="0"/>
    <n v="2"/>
    <x v="17"/>
    <x v="3"/>
  </r>
  <r>
    <x v="1"/>
    <d v="2021-04-28T00:00:00"/>
    <x v="22"/>
    <x v="0"/>
    <n v="1"/>
    <x v="17"/>
    <x v="3"/>
  </r>
  <r>
    <x v="1"/>
    <d v="2021-04-30T00:00:00"/>
    <x v="22"/>
    <x v="0"/>
    <n v="1"/>
    <x v="19"/>
    <x v="4"/>
  </r>
  <r>
    <x v="1"/>
    <d v="2021-04-30T00:00:00"/>
    <x v="22"/>
    <x v="0"/>
    <n v="2"/>
    <x v="19"/>
    <x v="4"/>
  </r>
  <r>
    <x v="1"/>
    <d v="2021-04-30T00:00:00"/>
    <x v="22"/>
    <x v="0"/>
    <n v="1"/>
    <x v="19"/>
    <x v="4"/>
  </r>
  <r>
    <x v="1"/>
    <d v="2021-04-30T00:00:00"/>
    <x v="22"/>
    <x v="0"/>
    <n v="1"/>
    <x v="19"/>
    <x v="4"/>
  </r>
  <r>
    <x v="1"/>
    <d v="2021-04-30T00:00:00"/>
    <x v="22"/>
    <x v="0"/>
    <n v="1"/>
    <x v="19"/>
    <x v="4"/>
  </r>
  <r>
    <x v="1"/>
    <d v="2021-04-01T00:00:00"/>
    <x v="23"/>
    <x v="0"/>
    <n v="2"/>
    <x v="0"/>
    <x v="0"/>
  </r>
  <r>
    <x v="1"/>
    <d v="2021-04-01T00:00:00"/>
    <x v="23"/>
    <x v="0"/>
    <n v="2"/>
    <x v="0"/>
    <x v="0"/>
  </r>
  <r>
    <x v="1"/>
    <d v="2021-04-01T00:00:00"/>
    <x v="23"/>
    <x v="0"/>
    <n v="1"/>
    <x v="0"/>
    <x v="0"/>
  </r>
  <r>
    <x v="1"/>
    <d v="2021-04-01T00:00:00"/>
    <x v="23"/>
    <x v="0"/>
    <n v="1"/>
    <x v="0"/>
    <x v="0"/>
  </r>
  <r>
    <x v="1"/>
    <d v="2021-04-02T00:00:00"/>
    <x v="23"/>
    <x v="0"/>
    <n v="1"/>
    <x v="27"/>
    <x v="4"/>
  </r>
  <r>
    <x v="1"/>
    <d v="2021-04-02T00:00:00"/>
    <x v="23"/>
    <x v="0"/>
    <n v="1"/>
    <x v="27"/>
    <x v="4"/>
  </r>
  <r>
    <x v="1"/>
    <d v="2021-04-06T00:00:00"/>
    <x v="23"/>
    <x v="0"/>
    <n v="1"/>
    <x v="2"/>
    <x v="2"/>
  </r>
  <r>
    <x v="1"/>
    <d v="2021-04-07T00:00:00"/>
    <x v="23"/>
    <x v="0"/>
    <n v="2"/>
    <x v="3"/>
    <x v="3"/>
  </r>
  <r>
    <x v="1"/>
    <d v="2021-04-08T00:00:00"/>
    <x v="23"/>
    <x v="0"/>
    <n v="1"/>
    <x v="4"/>
    <x v="0"/>
  </r>
  <r>
    <x v="1"/>
    <d v="2021-04-08T00:00:00"/>
    <x v="23"/>
    <x v="0"/>
    <n v="2"/>
    <x v="4"/>
    <x v="0"/>
  </r>
  <r>
    <x v="1"/>
    <d v="2021-04-08T00:00:00"/>
    <x v="23"/>
    <x v="0"/>
    <n v="2"/>
    <x v="4"/>
    <x v="0"/>
  </r>
  <r>
    <x v="1"/>
    <d v="2021-04-09T00:00:00"/>
    <x v="23"/>
    <x v="0"/>
    <n v="1"/>
    <x v="5"/>
    <x v="4"/>
  </r>
  <r>
    <x v="1"/>
    <d v="2021-04-09T00:00:00"/>
    <x v="23"/>
    <x v="0"/>
    <n v="2"/>
    <x v="5"/>
    <x v="4"/>
  </r>
  <r>
    <x v="1"/>
    <d v="2021-04-10T00:00:00"/>
    <x v="23"/>
    <x v="0"/>
    <n v="1"/>
    <x v="23"/>
    <x v="5"/>
  </r>
  <r>
    <x v="1"/>
    <d v="2021-04-10T00:00:00"/>
    <x v="23"/>
    <x v="0"/>
    <n v="2"/>
    <x v="23"/>
    <x v="5"/>
  </r>
  <r>
    <x v="1"/>
    <d v="2021-04-10T00:00:00"/>
    <x v="23"/>
    <x v="0"/>
    <n v="2"/>
    <x v="23"/>
    <x v="5"/>
  </r>
  <r>
    <x v="1"/>
    <d v="2021-04-10T00:00:00"/>
    <x v="23"/>
    <x v="0"/>
    <n v="1"/>
    <x v="23"/>
    <x v="5"/>
  </r>
  <r>
    <x v="1"/>
    <d v="2021-04-11T00:00:00"/>
    <x v="23"/>
    <x v="0"/>
    <n v="1"/>
    <x v="24"/>
    <x v="5"/>
  </r>
  <r>
    <x v="1"/>
    <d v="2021-04-11T00:00:00"/>
    <x v="23"/>
    <x v="0"/>
    <n v="1"/>
    <x v="24"/>
    <x v="5"/>
  </r>
  <r>
    <x v="1"/>
    <d v="2021-04-11T00:00:00"/>
    <x v="23"/>
    <x v="0"/>
    <n v="2"/>
    <x v="24"/>
    <x v="5"/>
  </r>
  <r>
    <x v="1"/>
    <d v="2021-04-15T00:00:00"/>
    <x v="23"/>
    <x v="0"/>
    <n v="2"/>
    <x v="9"/>
    <x v="0"/>
  </r>
  <r>
    <x v="1"/>
    <d v="2021-04-15T00:00:00"/>
    <x v="23"/>
    <x v="0"/>
    <n v="2"/>
    <x v="9"/>
    <x v="0"/>
  </r>
  <r>
    <x v="1"/>
    <d v="2021-04-16T00:00:00"/>
    <x v="23"/>
    <x v="0"/>
    <n v="2"/>
    <x v="10"/>
    <x v="4"/>
  </r>
  <r>
    <x v="1"/>
    <d v="2021-04-16T00:00:00"/>
    <x v="23"/>
    <x v="0"/>
    <n v="1"/>
    <x v="10"/>
    <x v="4"/>
  </r>
  <r>
    <x v="1"/>
    <d v="2021-04-17T00:00:00"/>
    <x v="23"/>
    <x v="0"/>
    <n v="1"/>
    <x v="20"/>
    <x v="5"/>
  </r>
  <r>
    <x v="1"/>
    <d v="2021-04-17T00:00:00"/>
    <x v="23"/>
    <x v="0"/>
    <n v="1"/>
    <x v="20"/>
    <x v="5"/>
  </r>
  <r>
    <x v="1"/>
    <d v="2021-04-17T00:00:00"/>
    <x v="23"/>
    <x v="0"/>
    <n v="1"/>
    <x v="20"/>
    <x v="5"/>
  </r>
  <r>
    <x v="1"/>
    <d v="2021-04-18T00:00:00"/>
    <x v="23"/>
    <x v="0"/>
    <n v="2"/>
    <x v="25"/>
    <x v="5"/>
  </r>
  <r>
    <x v="1"/>
    <d v="2021-04-18T00:00:00"/>
    <x v="23"/>
    <x v="0"/>
    <n v="2"/>
    <x v="25"/>
    <x v="5"/>
  </r>
  <r>
    <x v="1"/>
    <d v="2021-04-18T00:00:00"/>
    <x v="23"/>
    <x v="0"/>
    <n v="2"/>
    <x v="25"/>
    <x v="5"/>
  </r>
  <r>
    <x v="1"/>
    <d v="2021-04-19T00:00:00"/>
    <x v="23"/>
    <x v="0"/>
    <n v="2"/>
    <x v="11"/>
    <x v="1"/>
  </r>
  <r>
    <x v="1"/>
    <d v="2021-04-19T00:00:00"/>
    <x v="23"/>
    <x v="0"/>
    <n v="1"/>
    <x v="11"/>
    <x v="1"/>
  </r>
  <r>
    <x v="1"/>
    <d v="2021-04-20T00:00:00"/>
    <x v="23"/>
    <x v="0"/>
    <n v="1"/>
    <x v="12"/>
    <x v="2"/>
  </r>
  <r>
    <x v="1"/>
    <d v="2021-04-24T00:00:00"/>
    <x v="23"/>
    <x v="0"/>
    <n v="1"/>
    <x v="29"/>
    <x v="5"/>
  </r>
  <r>
    <x v="1"/>
    <d v="2021-04-24T00:00:00"/>
    <x v="23"/>
    <x v="0"/>
    <n v="2"/>
    <x v="29"/>
    <x v="5"/>
  </r>
  <r>
    <x v="1"/>
    <d v="2021-04-25T00:00:00"/>
    <x v="23"/>
    <x v="0"/>
    <n v="1"/>
    <x v="28"/>
    <x v="5"/>
  </r>
  <r>
    <x v="1"/>
    <d v="2021-04-25T00:00:00"/>
    <x v="23"/>
    <x v="0"/>
    <n v="1"/>
    <x v="28"/>
    <x v="5"/>
  </r>
  <r>
    <x v="1"/>
    <d v="2021-04-26T00:00:00"/>
    <x v="23"/>
    <x v="0"/>
    <n v="1"/>
    <x v="15"/>
    <x v="1"/>
  </r>
  <r>
    <x v="1"/>
    <d v="2021-04-27T00:00:00"/>
    <x v="23"/>
    <x v="0"/>
    <n v="1"/>
    <x v="16"/>
    <x v="2"/>
  </r>
  <r>
    <x v="1"/>
    <d v="2021-04-28T00:00:00"/>
    <x v="23"/>
    <x v="0"/>
    <n v="1"/>
    <x v="17"/>
    <x v="3"/>
  </r>
  <r>
    <x v="1"/>
    <d v="2021-04-28T00:00:00"/>
    <x v="23"/>
    <x v="0"/>
    <n v="1"/>
    <x v="17"/>
    <x v="3"/>
  </r>
  <r>
    <x v="1"/>
    <d v="2021-04-29T00:00:00"/>
    <x v="23"/>
    <x v="0"/>
    <n v="1"/>
    <x v="18"/>
    <x v="0"/>
  </r>
  <r>
    <x v="1"/>
    <d v="2021-04-30T00:00:00"/>
    <x v="23"/>
    <x v="0"/>
    <n v="2"/>
    <x v="19"/>
    <x v="4"/>
  </r>
  <r>
    <x v="1"/>
    <d v="2021-04-01T00:00:00"/>
    <x v="24"/>
    <x v="0"/>
    <n v="1"/>
    <x v="0"/>
    <x v="0"/>
  </r>
  <r>
    <x v="1"/>
    <d v="2021-04-05T00:00:00"/>
    <x v="24"/>
    <x v="0"/>
    <n v="2"/>
    <x v="1"/>
    <x v="1"/>
  </r>
  <r>
    <x v="1"/>
    <d v="2021-04-06T00:00:00"/>
    <x v="24"/>
    <x v="0"/>
    <n v="2"/>
    <x v="2"/>
    <x v="2"/>
  </r>
  <r>
    <x v="1"/>
    <d v="2021-04-06T00:00:00"/>
    <x v="24"/>
    <x v="0"/>
    <n v="1"/>
    <x v="2"/>
    <x v="2"/>
  </r>
  <r>
    <x v="1"/>
    <d v="2021-04-07T00:00:00"/>
    <x v="24"/>
    <x v="0"/>
    <n v="1"/>
    <x v="3"/>
    <x v="3"/>
  </r>
  <r>
    <x v="1"/>
    <d v="2021-04-07T00:00:00"/>
    <x v="24"/>
    <x v="0"/>
    <n v="1"/>
    <x v="3"/>
    <x v="3"/>
  </r>
  <r>
    <x v="1"/>
    <d v="2021-04-08T00:00:00"/>
    <x v="24"/>
    <x v="0"/>
    <n v="2"/>
    <x v="4"/>
    <x v="0"/>
  </r>
  <r>
    <x v="1"/>
    <d v="2021-04-08T00:00:00"/>
    <x v="24"/>
    <x v="0"/>
    <n v="2"/>
    <x v="4"/>
    <x v="0"/>
  </r>
  <r>
    <x v="1"/>
    <d v="2021-04-09T00:00:00"/>
    <x v="24"/>
    <x v="0"/>
    <n v="2"/>
    <x v="5"/>
    <x v="4"/>
  </r>
  <r>
    <x v="1"/>
    <d v="2021-04-09T00:00:00"/>
    <x v="24"/>
    <x v="0"/>
    <n v="2"/>
    <x v="5"/>
    <x v="4"/>
  </r>
  <r>
    <x v="1"/>
    <d v="2021-04-12T00:00:00"/>
    <x v="24"/>
    <x v="0"/>
    <n v="1"/>
    <x v="6"/>
    <x v="1"/>
  </r>
  <r>
    <x v="1"/>
    <d v="2021-04-13T00:00:00"/>
    <x v="24"/>
    <x v="0"/>
    <n v="1"/>
    <x v="7"/>
    <x v="2"/>
  </r>
  <r>
    <x v="1"/>
    <d v="2021-04-14T00:00:00"/>
    <x v="24"/>
    <x v="0"/>
    <n v="2"/>
    <x v="8"/>
    <x v="3"/>
  </r>
  <r>
    <x v="1"/>
    <d v="2021-04-15T00:00:00"/>
    <x v="24"/>
    <x v="0"/>
    <n v="2"/>
    <x v="9"/>
    <x v="0"/>
  </r>
  <r>
    <x v="1"/>
    <d v="2021-04-16T00:00:00"/>
    <x v="24"/>
    <x v="0"/>
    <n v="1"/>
    <x v="10"/>
    <x v="4"/>
  </r>
  <r>
    <x v="1"/>
    <d v="2021-04-19T00:00:00"/>
    <x v="24"/>
    <x v="0"/>
    <n v="1"/>
    <x v="11"/>
    <x v="1"/>
  </r>
  <r>
    <x v="1"/>
    <d v="2021-04-20T00:00:00"/>
    <x v="24"/>
    <x v="0"/>
    <n v="2"/>
    <x v="12"/>
    <x v="2"/>
  </r>
  <r>
    <x v="1"/>
    <d v="2021-04-22T00:00:00"/>
    <x v="24"/>
    <x v="0"/>
    <n v="2"/>
    <x v="13"/>
    <x v="0"/>
  </r>
  <r>
    <x v="1"/>
    <d v="2021-04-23T00:00:00"/>
    <x v="24"/>
    <x v="0"/>
    <n v="1"/>
    <x v="14"/>
    <x v="4"/>
  </r>
  <r>
    <x v="1"/>
    <d v="2021-04-23T00:00:00"/>
    <x v="24"/>
    <x v="0"/>
    <n v="1"/>
    <x v="14"/>
    <x v="4"/>
  </r>
  <r>
    <x v="1"/>
    <d v="2021-04-26T00:00:00"/>
    <x v="24"/>
    <x v="0"/>
    <n v="1"/>
    <x v="15"/>
    <x v="1"/>
  </r>
  <r>
    <x v="1"/>
    <d v="2021-04-27T00:00:00"/>
    <x v="24"/>
    <x v="0"/>
    <n v="2"/>
    <x v="16"/>
    <x v="2"/>
  </r>
  <r>
    <x v="1"/>
    <d v="2021-04-28T00:00:00"/>
    <x v="24"/>
    <x v="0"/>
    <n v="1"/>
    <x v="17"/>
    <x v="3"/>
  </r>
  <r>
    <x v="1"/>
    <d v="2021-04-29T00:00:00"/>
    <x v="24"/>
    <x v="0"/>
    <n v="1"/>
    <x v="18"/>
    <x v="0"/>
  </r>
  <r>
    <x v="1"/>
    <d v="2021-04-30T00:00:00"/>
    <x v="24"/>
    <x v="0"/>
    <n v="1"/>
    <x v="19"/>
    <x v="4"/>
  </r>
  <r>
    <x v="1"/>
    <d v="2021-04-30T00:00:00"/>
    <x v="24"/>
    <x v="0"/>
    <n v="1"/>
    <x v="19"/>
    <x v="4"/>
  </r>
  <r>
    <x v="1"/>
    <d v="2021-04-30T00:00:00"/>
    <x v="24"/>
    <x v="0"/>
    <n v="2"/>
    <x v="19"/>
    <x v="4"/>
  </r>
  <r>
    <x v="1"/>
    <d v="2021-04-01T00:00:00"/>
    <x v="25"/>
    <x v="0"/>
    <n v="2"/>
    <x v="0"/>
    <x v="0"/>
  </r>
  <r>
    <x v="1"/>
    <d v="2021-04-05T00:00:00"/>
    <x v="25"/>
    <x v="0"/>
    <n v="1"/>
    <x v="1"/>
    <x v="1"/>
  </r>
  <r>
    <x v="1"/>
    <d v="2021-04-05T00:00:00"/>
    <x v="25"/>
    <x v="0"/>
    <n v="1"/>
    <x v="1"/>
    <x v="1"/>
  </r>
  <r>
    <x v="1"/>
    <d v="2021-04-06T00:00:00"/>
    <x v="25"/>
    <x v="0"/>
    <n v="2"/>
    <x v="2"/>
    <x v="2"/>
  </r>
  <r>
    <x v="1"/>
    <d v="2021-04-07T00:00:00"/>
    <x v="25"/>
    <x v="0"/>
    <n v="1"/>
    <x v="3"/>
    <x v="3"/>
  </r>
  <r>
    <x v="1"/>
    <d v="2021-04-08T00:00:00"/>
    <x v="25"/>
    <x v="0"/>
    <n v="2"/>
    <x v="4"/>
    <x v="0"/>
  </r>
  <r>
    <x v="1"/>
    <d v="2021-04-08T00:00:00"/>
    <x v="25"/>
    <x v="0"/>
    <n v="1"/>
    <x v="4"/>
    <x v="0"/>
  </r>
  <r>
    <x v="1"/>
    <d v="2021-04-09T00:00:00"/>
    <x v="25"/>
    <x v="0"/>
    <n v="2"/>
    <x v="5"/>
    <x v="4"/>
  </r>
  <r>
    <x v="1"/>
    <d v="2021-04-09T00:00:00"/>
    <x v="25"/>
    <x v="0"/>
    <n v="2"/>
    <x v="5"/>
    <x v="4"/>
  </r>
  <r>
    <x v="1"/>
    <d v="2021-04-12T00:00:00"/>
    <x v="25"/>
    <x v="0"/>
    <n v="2"/>
    <x v="6"/>
    <x v="1"/>
  </r>
  <r>
    <x v="1"/>
    <d v="2021-04-13T00:00:00"/>
    <x v="25"/>
    <x v="0"/>
    <n v="1"/>
    <x v="7"/>
    <x v="2"/>
  </r>
  <r>
    <x v="1"/>
    <d v="2021-04-14T00:00:00"/>
    <x v="25"/>
    <x v="0"/>
    <n v="1"/>
    <x v="8"/>
    <x v="3"/>
  </r>
  <r>
    <x v="1"/>
    <d v="2021-04-14T00:00:00"/>
    <x v="25"/>
    <x v="0"/>
    <n v="2"/>
    <x v="8"/>
    <x v="3"/>
  </r>
  <r>
    <x v="1"/>
    <d v="2021-04-14T00:00:00"/>
    <x v="25"/>
    <x v="0"/>
    <n v="2"/>
    <x v="8"/>
    <x v="3"/>
  </r>
  <r>
    <x v="1"/>
    <d v="2021-04-15T00:00:00"/>
    <x v="25"/>
    <x v="0"/>
    <n v="2"/>
    <x v="9"/>
    <x v="0"/>
  </r>
  <r>
    <x v="1"/>
    <d v="2021-04-16T00:00:00"/>
    <x v="25"/>
    <x v="0"/>
    <n v="2"/>
    <x v="10"/>
    <x v="4"/>
  </r>
  <r>
    <x v="1"/>
    <d v="2021-04-19T00:00:00"/>
    <x v="25"/>
    <x v="0"/>
    <n v="2"/>
    <x v="11"/>
    <x v="1"/>
  </r>
  <r>
    <x v="1"/>
    <d v="2021-04-20T00:00:00"/>
    <x v="25"/>
    <x v="0"/>
    <n v="2"/>
    <x v="12"/>
    <x v="2"/>
  </r>
  <r>
    <x v="1"/>
    <d v="2021-04-22T00:00:00"/>
    <x v="25"/>
    <x v="0"/>
    <n v="1"/>
    <x v="13"/>
    <x v="0"/>
  </r>
  <r>
    <x v="1"/>
    <d v="2021-04-23T00:00:00"/>
    <x v="25"/>
    <x v="0"/>
    <n v="1"/>
    <x v="14"/>
    <x v="4"/>
  </r>
  <r>
    <x v="1"/>
    <d v="2021-04-26T00:00:00"/>
    <x v="25"/>
    <x v="0"/>
    <n v="2"/>
    <x v="15"/>
    <x v="1"/>
  </r>
  <r>
    <x v="1"/>
    <d v="2021-04-27T00:00:00"/>
    <x v="25"/>
    <x v="0"/>
    <n v="2"/>
    <x v="16"/>
    <x v="2"/>
  </r>
  <r>
    <x v="1"/>
    <d v="2021-04-27T00:00:00"/>
    <x v="25"/>
    <x v="0"/>
    <n v="1"/>
    <x v="16"/>
    <x v="2"/>
  </r>
  <r>
    <x v="1"/>
    <d v="2021-04-27T00:00:00"/>
    <x v="25"/>
    <x v="0"/>
    <n v="2"/>
    <x v="16"/>
    <x v="2"/>
  </r>
  <r>
    <x v="1"/>
    <d v="2021-04-28T00:00:00"/>
    <x v="25"/>
    <x v="0"/>
    <n v="2"/>
    <x v="17"/>
    <x v="3"/>
  </r>
  <r>
    <x v="1"/>
    <d v="2021-04-28T00:00:00"/>
    <x v="25"/>
    <x v="0"/>
    <n v="1"/>
    <x v="17"/>
    <x v="3"/>
  </r>
  <r>
    <x v="1"/>
    <d v="2021-04-29T00:00:00"/>
    <x v="25"/>
    <x v="0"/>
    <n v="1"/>
    <x v="18"/>
    <x v="0"/>
  </r>
  <r>
    <x v="1"/>
    <d v="2021-04-30T00:00:00"/>
    <x v="25"/>
    <x v="0"/>
    <n v="2"/>
    <x v="19"/>
    <x v="4"/>
  </r>
  <r>
    <x v="1"/>
    <d v="2021-04-30T00:00:00"/>
    <x v="25"/>
    <x v="0"/>
    <n v="2"/>
    <x v="19"/>
    <x v="4"/>
  </r>
  <r>
    <x v="2"/>
    <d v="2021-04-01T00:00:00"/>
    <x v="26"/>
    <x v="0"/>
    <n v="1"/>
    <x v="0"/>
    <x v="0"/>
  </r>
  <r>
    <x v="2"/>
    <d v="2021-04-05T00:00:00"/>
    <x v="26"/>
    <x v="0"/>
    <n v="2"/>
    <x v="1"/>
    <x v="1"/>
  </r>
  <r>
    <x v="2"/>
    <d v="2021-04-06T00:00:00"/>
    <x v="26"/>
    <x v="0"/>
    <n v="1"/>
    <x v="2"/>
    <x v="2"/>
  </r>
  <r>
    <x v="2"/>
    <d v="2021-04-07T00:00:00"/>
    <x v="26"/>
    <x v="0"/>
    <n v="1"/>
    <x v="3"/>
    <x v="3"/>
  </r>
  <r>
    <x v="2"/>
    <d v="2021-04-07T00:00:00"/>
    <x v="26"/>
    <x v="0"/>
    <n v="2"/>
    <x v="3"/>
    <x v="3"/>
  </r>
  <r>
    <x v="2"/>
    <d v="2021-04-08T00:00:00"/>
    <x v="26"/>
    <x v="0"/>
    <n v="2"/>
    <x v="4"/>
    <x v="0"/>
  </r>
  <r>
    <x v="2"/>
    <d v="2021-04-09T00:00:00"/>
    <x v="26"/>
    <x v="0"/>
    <n v="1"/>
    <x v="5"/>
    <x v="4"/>
  </r>
  <r>
    <x v="2"/>
    <d v="2021-04-09T00:00:00"/>
    <x v="26"/>
    <x v="0"/>
    <n v="1"/>
    <x v="5"/>
    <x v="4"/>
  </r>
  <r>
    <x v="2"/>
    <d v="2021-04-10T00:00:00"/>
    <x v="26"/>
    <x v="0"/>
    <n v="2"/>
    <x v="23"/>
    <x v="5"/>
  </r>
  <r>
    <x v="2"/>
    <d v="2021-04-12T00:00:00"/>
    <x v="26"/>
    <x v="0"/>
    <n v="2"/>
    <x v="6"/>
    <x v="1"/>
  </r>
  <r>
    <x v="2"/>
    <d v="2021-04-13T00:00:00"/>
    <x v="26"/>
    <x v="0"/>
    <n v="2"/>
    <x v="7"/>
    <x v="2"/>
  </r>
  <r>
    <x v="2"/>
    <d v="2021-04-14T00:00:00"/>
    <x v="26"/>
    <x v="0"/>
    <n v="2"/>
    <x v="8"/>
    <x v="3"/>
  </r>
  <r>
    <x v="2"/>
    <d v="2021-04-15T00:00:00"/>
    <x v="26"/>
    <x v="0"/>
    <n v="2"/>
    <x v="9"/>
    <x v="0"/>
  </r>
  <r>
    <x v="2"/>
    <d v="2021-04-16T00:00:00"/>
    <x v="26"/>
    <x v="0"/>
    <n v="1"/>
    <x v="10"/>
    <x v="4"/>
  </r>
  <r>
    <x v="2"/>
    <d v="2021-04-16T00:00:00"/>
    <x v="26"/>
    <x v="0"/>
    <n v="1"/>
    <x v="10"/>
    <x v="4"/>
  </r>
  <r>
    <x v="2"/>
    <d v="2021-04-19T00:00:00"/>
    <x v="26"/>
    <x v="0"/>
    <n v="1"/>
    <x v="11"/>
    <x v="1"/>
  </r>
  <r>
    <x v="2"/>
    <d v="2021-04-19T00:00:00"/>
    <x v="26"/>
    <x v="0"/>
    <n v="2"/>
    <x v="11"/>
    <x v="1"/>
  </r>
  <r>
    <x v="2"/>
    <d v="2021-04-20T00:00:00"/>
    <x v="26"/>
    <x v="0"/>
    <n v="2"/>
    <x v="12"/>
    <x v="2"/>
  </r>
  <r>
    <x v="2"/>
    <d v="2021-04-22T00:00:00"/>
    <x v="26"/>
    <x v="0"/>
    <n v="2"/>
    <x v="13"/>
    <x v="0"/>
  </r>
  <r>
    <x v="2"/>
    <d v="2021-04-23T00:00:00"/>
    <x v="26"/>
    <x v="0"/>
    <n v="1"/>
    <x v="14"/>
    <x v="4"/>
  </r>
  <r>
    <x v="2"/>
    <d v="2021-04-25T00:00:00"/>
    <x v="26"/>
    <x v="0"/>
    <n v="2"/>
    <x v="28"/>
    <x v="5"/>
  </r>
  <r>
    <x v="2"/>
    <d v="2021-04-26T00:00:00"/>
    <x v="26"/>
    <x v="0"/>
    <n v="1"/>
    <x v="15"/>
    <x v="1"/>
  </r>
  <r>
    <x v="2"/>
    <d v="2021-04-26T00:00:00"/>
    <x v="26"/>
    <x v="0"/>
    <n v="1"/>
    <x v="15"/>
    <x v="1"/>
  </r>
  <r>
    <x v="2"/>
    <d v="2021-04-27T00:00:00"/>
    <x v="26"/>
    <x v="0"/>
    <n v="2"/>
    <x v="16"/>
    <x v="2"/>
  </r>
  <r>
    <x v="2"/>
    <d v="2021-04-28T00:00:00"/>
    <x v="26"/>
    <x v="0"/>
    <n v="1"/>
    <x v="17"/>
    <x v="3"/>
  </r>
  <r>
    <x v="2"/>
    <d v="2021-04-29T00:00:00"/>
    <x v="26"/>
    <x v="0"/>
    <n v="1"/>
    <x v="18"/>
    <x v="0"/>
  </r>
  <r>
    <x v="2"/>
    <d v="2021-04-30T00:00:00"/>
    <x v="26"/>
    <x v="0"/>
    <n v="1"/>
    <x v="19"/>
    <x v="4"/>
  </r>
  <r>
    <x v="2"/>
    <d v="2021-04-30T00:00:00"/>
    <x v="26"/>
    <x v="0"/>
    <n v="2"/>
    <x v="19"/>
    <x v="4"/>
  </r>
  <r>
    <x v="2"/>
    <d v="2021-04-30T00:00:00"/>
    <x v="26"/>
    <x v="0"/>
    <n v="2"/>
    <x v="19"/>
    <x v="4"/>
  </r>
  <r>
    <x v="2"/>
    <d v="2021-04-01T00:00:00"/>
    <x v="27"/>
    <x v="0"/>
    <n v="2"/>
    <x v="0"/>
    <x v="0"/>
  </r>
  <r>
    <x v="2"/>
    <d v="2021-04-05T00:00:00"/>
    <x v="27"/>
    <x v="0"/>
    <n v="1"/>
    <x v="1"/>
    <x v="1"/>
  </r>
  <r>
    <x v="2"/>
    <d v="2021-04-06T00:00:00"/>
    <x v="27"/>
    <x v="0"/>
    <n v="2"/>
    <x v="2"/>
    <x v="2"/>
  </r>
  <r>
    <x v="2"/>
    <d v="2021-04-07T00:00:00"/>
    <x v="27"/>
    <x v="0"/>
    <n v="1"/>
    <x v="3"/>
    <x v="3"/>
  </r>
  <r>
    <x v="2"/>
    <d v="2021-04-08T00:00:00"/>
    <x v="27"/>
    <x v="0"/>
    <n v="1"/>
    <x v="4"/>
    <x v="0"/>
  </r>
  <r>
    <x v="2"/>
    <d v="2021-04-09T00:00:00"/>
    <x v="27"/>
    <x v="0"/>
    <n v="1"/>
    <x v="5"/>
    <x v="4"/>
  </r>
  <r>
    <x v="2"/>
    <d v="2021-04-11T00:00:00"/>
    <x v="27"/>
    <x v="0"/>
    <n v="2"/>
    <x v="24"/>
    <x v="5"/>
  </r>
  <r>
    <x v="2"/>
    <d v="2021-04-11T00:00:00"/>
    <x v="27"/>
    <x v="0"/>
    <n v="2"/>
    <x v="24"/>
    <x v="5"/>
  </r>
  <r>
    <x v="2"/>
    <d v="2021-04-12T00:00:00"/>
    <x v="27"/>
    <x v="0"/>
    <n v="1"/>
    <x v="6"/>
    <x v="1"/>
  </r>
  <r>
    <x v="2"/>
    <d v="2021-04-13T00:00:00"/>
    <x v="27"/>
    <x v="0"/>
    <n v="2"/>
    <x v="7"/>
    <x v="2"/>
  </r>
  <r>
    <x v="2"/>
    <d v="2021-04-14T00:00:00"/>
    <x v="27"/>
    <x v="0"/>
    <n v="1"/>
    <x v="8"/>
    <x v="3"/>
  </r>
  <r>
    <x v="2"/>
    <d v="2021-04-15T00:00:00"/>
    <x v="27"/>
    <x v="0"/>
    <n v="2"/>
    <x v="9"/>
    <x v="0"/>
  </r>
  <r>
    <x v="2"/>
    <d v="2021-04-16T00:00:00"/>
    <x v="27"/>
    <x v="0"/>
    <n v="2"/>
    <x v="10"/>
    <x v="4"/>
  </r>
  <r>
    <x v="2"/>
    <d v="2021-04-19T00:00:00"/>
    <x v="27"/>
    <x v="0"/>
    <n v="2"/>
    <x v="11"/>
    <x v="1"/>
  </r>
  <r>
    <x v="2"/>
    <d v="2021-04-20T00:00:00"/>
    <x v="27"/>
    <x v="0"/>
    <n v="2"/>
    <x v="12"/>
    <x v="2"/>
  </r>
  <r>
    <x v="2"/>
    <d v="2021-04-22T00:00:00"/>
    <x v="27"/>
    <x v="0"/>
    <n v="2"/>
    <x v="13"/>
    <x v="0"/>
  </r>
  <r>
    <x v="2"/>
    <d v="2021-04-23T00:00:00"/>
    <x v="27"/>
    <x v="0"/>
    <n v="1"/>
    <x v="14"/>
    <x v="4"/>
  </r>
  <r>
    <x v="2"/>
    <d v="2021-04-23T00:00:00"/>
    <x v="27"/>
    <x v="0"/>
    <n v="2"/>
    <x v="14"/>
    <x v="4"/>
  </r>
  <r>
    <x v="2"/>
    <d v="2021-04-24T00:00:00"/>
    <x v="27"/>
    <x v="0"/>
    <n v="1"/>
    <x v="29"/>
    <x v="5"/>
  </r>
  <r>
    <x v="2"/>
    <d v="2021-04-24T00:00:00"/>
    <x v="27"/>
    <x v="0"/>
    <n v="2"/>
    <x v="29"/>
    <x v="5"/>
  </r>
  <r>
    <x v="2"/>
    <d v="2021-04-26T00:00:00"/>
    <x v="27"/>
    <x v="0"/>
    <n v="1"/>
    <x v="15"/>
    <x v="1"/>
  </r>
  <r>
    <x v="2"/>
    <d v="2021-04-26T00:00:00"/>
    <x v="27"/>
    <x v="0"/>
    <n v="2"/>
    <x v="15"/>
    <x v="1"/>
  </r>
  <r>
    <x v="2"/>
    <d v="2021-04-27T00:00:00"/>
    <x v="27"/>
    <x v="0"/>
    <n v="2"/>
    <x v="16"/>
    <x v="2"/>
  </r>
  <r>
    <x v="2"/>
    <d v="2021-04-28T00:00:00"/>
    <x v="27"/>
    <x v="0"/>
    <n v="1"/>
    <x v="17"/>
    <x v="3"/>
  </r>
  <r>
    <x v="2"/>
    <d v="2021-04-28T00:00:00"/>
    <x v="27"/>
    <x v="0"/>
    <n v="2"/>
    <x v="17"/>
    <x v="3"/>
  </r>
  <r>
    <x v="2"/>
    <d v="2021-04-29T00:00:00"/>
    <x v="27"/>
    <x v="0"/>
    <n v="2"/>
    <x v="18"/>
    <x v="0"/>
  </r>
  <r>
    <x v="2"/>
    <d v="2021-04-29T00:00:00"/>
    <x v="27"/>
    <x v="0"/>
    <n v="1"/>
    <x v="18"/>
    <x v="0"/>
  </r>
  <r>
    <x v="2"/>
    <d v="2021-04-30T00:00:00"/>
    <x v="27"/>
    <x v="0"/>
    <n v="1"/>
    <x v="19"/>
    <x v="4"/>
  </r>
  <r>
    <x v="2"/>
    <d v="2021-04-30T00:00:00"/>
    <x v="27"/>
    <x v="0"/>
    <n v="2"/>
    <x v="19"/>
    <x v="4"/>
  </r>
  <r>
    <x v="2"/>
    <d v="2021-04-01T00:00:00"/>
    <x v="28"/>
    <x v="0"/>
    <n v="2"/>
    <x v="0"/>
    <x v="0"/>
  </r>
  <r>
    <x v="2"/>
    <d v="2021-04-01T00:00:00"/>
    <x v="29"/>
    <x v="0"/>
    <n v="2"/>
    <x v="0"/>
    <x v="0"/>
  </r>
  <r>
    <x v="2"/>
    <d v="2021-04-01T00:00:00"/>
    <x v="29"/>
    <x v="0"/>
    <n v="1"/>
    <x v="0"/>
    <x v="0"/>
  </r>
  <r>
    <x v="2"/>
    <d v="2021-04-05T00:00:00"/>
    <x v="29"/>
    <x v="0"/>
    <n v="2"/>
    <x v="1"/>
    <x v="1"/>
  </r>
  <r>
    <x v="2"/>
    <d v="2021-04-06T00:00:00"/>
    <x v="29"/>
    <x v="0"/>
    <n v="1"/>
    <x v="2"/>
    <x v="2"/>
  </r>
  <r>
    <x v="2"/>
    <d v="2021-04-07T00:00:00"/>
    <x v="29"/>
    <x v="0"/>
    <n v="2"/>
    <x v="3"/>
    <x v="3"/>
  </r>
  <r>
    <x v="2"/>
    <d v="2021-04-08T00:00:00"/>
    <x v="29"/>
    <x v="0"/>
    <n v="2"/>
    <x v="4"/>
    <x v="0"/>
  </r>
  <r>
    <x v="2"/>
    <d v="2021-04-08T00:00:00"/>
    <x v="29"/>
    <x v="0"/>
    <n v="2"/>
    <x v="4"/>
    <x v="0"/>
  </r>
  <r>
    <x v="2"/>
    <d v="2021-04-09T00:00:00"/>
    <x v="29"/>
    <x v="0"/>
    <n v="1"/>
    <x v="5"/>
    <x v="4"/>
  </r>
  <r>
    <x v="2"/>
    <d v="2021-04-10T00:00:00"/>
    <x v="29"/>
    <x v="0"/>
    <n v="2"/>
    <x v="23"/>
    <x v="5"/>
  </r>
  <r>
    <x v="2"/>
    <d v="2021-04-10T00:00:00"/>
    <x v="29"/>
    <x v="0"/>
    <n v="2"/>
    <x v="23"/>
    <x v="5"/>
  </r>
  <r>
    <x v="2"/>
    <d v="2021-04-10T00:00:00"/>
    <x v="29"/>
    <x v="0"/>
    <n v="2"/>
    <x v="23"/>
    <x v="5"/>
  </r>
  <r>
    <x v="2"/>
    <d v="2021-04-10T00:00:00"/>
    <x v="29"/>
    <x v="0"/>
    <n v="2"/>
    <x v="23"/>
    <x v="5"/>
  </r>
  <r>
    <x v="2"/>
    <d v="2021-04-12T00:00:00"/>
    <x v="29"/>
    <x v="0"/>
    <n v="2"/>
    <x v="6"/>
    <x v="1"/>
  </r>
  <r>
    <x v="2"/>
    <d v="2021-04-12T00:00:00"/>
    <x v="29"/>
    <x v="0"/>
    <n v="2"/>
    <x v="6"/>
    <x v="1"/>
  </r>
  <r>
    <x v="2"/>
    <d v="2021-04-13T00:00:00"/>
    <x v="29"/>
    <x v="0"/>
    <n v="1"/>
    <x v="7"/>
    <x v="2"/>
  </r>
  <r>
    <x v="2"/>
    <d v="2021-04-14T00:00:00"/>
    <x v="29"/>
    <x v="0"/>
    <n v="2"/>
    <x v="8"/>
    <x v="3"/>
  </r>
  <r>
    <x v="2"/>
    <d v="2021-04-15T00:00:00"/>
    <x v="29"/>
    <x v="0"/>
    <n v="2"/>
    <x v="9"/>
    <x v="0"/>
  </r>
  <r>
    <x v="2"/>
    <d v="2021-04-16T00:00:00"/>
    <x v="29"/>
    <x v="0"/>
    <n v="2"/>
    <x v="10"/>
    <x v="4"/>
  </r>
  <r>
    <x v="2"/>
    <d v="2021-04-19T00:00:00"/>
    <x v="29"/>
    <x v="0"/>
    <n v="1"/>
    <x v="11"/>
    <x v="1"/>
  </r>
  <r>
    <x v="2"/>
    <d v="2021-04-19T00:00:00"/>
    <x v="29"/>
    <x v="0"/>
    <n v="1"/>
    <x v="11"/>
    <x v="1"/>
  </r>
  <r>
    <x v="2"/>
    <d v="2021-04-20T00:00:00"/>
    <x v="29"/>
    <x v="0"/>
    <n v="1"/>
    <x v="12"/>
    <x v="2"/>
  </r>
  <r>
    <x v="2"/>
    <d v="2021-04-20T00:00:00"/>
    <x v="29"/>
    <x v="0"/>
    <n v="2"/>
    <x v="12"/>
    <x v="2"/>
  </r>
  <r>
    <x v="2"/>
    <d v="2021-04-21T00:00:00"/>
    <x v="29"/>
    <x v="0"/>
    <n v="2"/>
    <x v="26"/>
    <x v="3"/>
  </r>
  <r>
    <x v="2"/>
    <d v="2021-04-22T00:00:00"/>
    <x v="29"/>
    <x v="0"/>
    <n v="1"/>
    <x v="13"/>
    <x v="0"/>
  </r>
  <r>
    <x v="2"/>
    <d v="2021-04-23T00:00:00"/>
    <x v="29"/>
    <x v="0"/>
    <n v="1"/>
    <x v="14"/>
    <x v="4"/>
  </r>
  <r>
    <x v="2"/>
    <d v="2021-04-24T00:00:00"/>
    <x v="29"/>
    <x v="0"/>
    <n v="2"/>
    <x v="29"/>
    <x v="5"/>
  </r>
  <r>
    <x v="2"/>
    <d v="2021-04-24T00:00:00"/>
    <x v="29"/>
    <x v="0"/>
    <n v="1"/>
    <x v="29"/>
    <x v="5"/>
  </r>
  <r>
    <x v="2"/>
    <d v="2021-04-26T00:00:00"/>
    <x v="29"/>
    <x v="0"/>
    <n v="1"/>
    <x v="15"/>
    <x v="1"/>
  </r>
  <r>
    <x v="2"/>
    <d v="2021-04-27T00:00:00"/>
    <x v="29"/>
    <x v="0"/>
    <n v="1"/>
    <x v="16"/>
    <x v="2"/>
  </r>
  <r>
    <x v="2"/>
    <d v="2021-04-27T00:00:00"/>
    <x v="29"/>
    <x v="0"/>
    <n v="2"/>
    <x v="16"/>
    <x v="2"/>
  </r>
  <r>
    <x v="2"/>
    <d v="2021-04-27T00:00:00"/>
    <x v="29"/>
    <x v="0"/>
    <n v="2"/>
    <x v="16"/>
    <x v="2"/>
  </r>
  <r>
    <x v="2"/>
    <d v="2021-04-27T00:00:00"/>
    <x v="29"/>
    <x v="0"/>
    <n v="2"/>
    <x v="16"/>
    <x v="2"/>
  </r>
  <r>
    <x v="2"/>
    <d v="2021-04-28T00:00:00"/>
    <x v="29"/>
    <x v="0"/>
    <n v="2"/>
    <x v="17"/>
    <x v="3"/>
  </r>
  <r>
    <x v="2"/>
    <d v="2021-04-28T00:00:00"/>
    <x v="29"/>
    <x v="0"/>
    <n v="2"/>
    <x v="17"/>
    <x v="3"/>
  </r>
  <r>
    <x v="2"/>
    <d v="2021-04-29T00:00:00"/>
    <x v="29"/>
    <x v="0"/>
    <n v="1"/>
    <x v="18"/>
    <x v="0"/>
  </r>
  <r>
    <x v="2"/>
    <d v="2021-04-30T00:00:00"/>
    <x v="29"/>
    <x v="0"/>
    <n v="1"/>
    <x v="19"/>
    <x v="4"/>
  </r>
  <r>
    <x v="2"/>
    <d v="2021-04-30T00:00:00"/>
    <x v="29"/>
    <x v="0"/>
    <n v="1"/>
    <x v="19"/>
    <x v="4"/>
  </r>
  <r>
    <x v="2"/>
    <d v="2021-04-01T00:00:00"/>
    <x v="30"/>
    <x v="0"/>
    <n v="1"/>
    <x v="0"/>
    <x v="0"/>
  </r>
  <r>
    <x v="2"/>
    <d v="2021-04-01T00:00:00"/>
    <x v="30"/>
    <x v="0"/>
    <n v="1"/>
    <x v="0"/>
    <x v="0"/>
  </r>
  <r>
    <x v="2"/>
    <d v="2021-04-05T00:00:00"/>
    <x v="30"/>
    <x v="0"/>
    <n v="2"/>
    <x v="1"/>
    <x v="1"/>
  </r>
  <r>
    <x v="2"/>
    <d v="2021-04-06T00:00:00"/>
    <x v="30"/>
    <x v="0"/>
    <n v="1"/>
    <x v="2"/>
    <x v="2"/>
  </r>
  <r>
    <x v="2"/>
    <d v="2021-04-07T00:00:00"/>
    <x v="30"/>
    <x v="0"/>
    <n v="1"/>
    <x v="3"/>
    <x v="3"/>
  </r>
  <r>
    <x v="2"/>
    <d v="2021-04-08T00:00:00"/>
    <x v="30"/>
    <x v="0"/>
    <n v="2"/>
    <x v="4"/>
    <x v="0"/>
  </r>
  <r>
    <x v="2"/>
    <d v="2021-04-09T00:00:00"/>
    <x v="30"/>
    <x v="0"/>
    <n v="2"/>
    <x v="5"/>
    <x v="4"/>
  </r>
  <r>
    <x v="2"/>
    <d v="2021-04-12T00:00:00"/>
    <x v="30"/>
    <x v="0"/>
    <n v="1"/>
    <x v="6"/>
    <x v="1"/>
  </r>
  <r>
    <x v="2"/>
    <d v="2021-04-12T00:00:00"/>
    <x v="30"/>
    <x v="0"/>
    <n v="1"/>
    <x v="6"/>
    <x v="1"/>
  </r>
  <r>
    <x v="2"/>
    <d v="2021-04-13T00:00:00"/>
    <x v="30"/>
    <x v="0"/>
    <n v="2"/>
    <x v="7"/>
    <x v="2"/>
  </r>
  <r>
    <x v="2"/>
    <d v="2021-04-14T00:00:00"/>
    <x v="30"/>
    <x v="0"/>
    <n v="2"/>
    <x v="8"/>
    <x v="3"/>
  </r>
  <r>
    <x v="2"/>
    <d v="2021-04-15T00:00:00"/>
    <x v="30"/>
    <x v="0"/>
    <n v="1"/>
    <x v="9"/>
    <x v="0"/>
  </r>
  <r>
    <x v="2"/>
    <d v="2021-04-16T00:00:00"/>
    <x v="30"/>
    <x v="0"/>
    <n v="1"/>
    <x v="10"/>
    <x v="4"/>
  </r>
  <r>
    <x v="2"/>
    <d v="2021-04-19T00:00:00"/>
    <x v="30"/>
    <x v="0"/>
    <n v="1"/>
    <x v="11"/>
    <x v="1"/>
  </r>
  <r>
    <x v="2"/>
    <d v="2021-04-20T00:00:00"/>
    <x v="30"/>
    <x v="0"/>
    <n v="1"/>
    <x v="12"/>
    <x v="2"/>
  </r>
  <r>
    <x v="2"/>
    <d v="2021-04-22T00:00:00"/>
    <x v="30"/>
    <x v="0"/>
    <n v="1"/>
    <x v="13"/>
    <x v="0"/>
  </r>
  <r>
    <x v="2"/>
    <d v="2021-04-23T00:00:00"/>
    <x v="30"/>
    <x v="0"/>
    <n v="1"/>
    <x v="14"/>
    <x v="4"/>
  </r>
  <r>
    <x v="2"/>
    <d v="2021-04-26T00:00:00"/>
    <x v="30"/>
    <x v="0"/>
    <n v="2"/>
    <x v="15"/>
    <x v="1"/>
  </r>
  <r>
    <x v="2"/>
    <d v="2021-04-27T00:00:00"/>
    <x v="30"/>
    <x v="0"/>
    <n v="1"/>
    <x v="16"/>
    <x v="2"/>
  </r>
  <r>
    <x v="2"/>
    <d v="2021-04-28T00:00:00"/>
    <x v="30"/>
    <x v="0"/>
    <n v="2"/>
    <x v="17"/>
    <x v="3"/>
  </r>
  <r>
    <x v="2"/>
    <d v="2021-04-29T00:00:00"/>
    <x v="30"/>
    <x v="0"/>
    <n v="1"/>
    <x v="18"/>
    <x v="0"/>
  </r>
  <r>
    <x v="2"/>
    <d v="2021-04-30T00:00:00"/>
    <x v="30"/>
    <x v="0"/>
    <n v="1"/>
    <x v="19"/>
    <x v="4"/>
  </r>
  <r>
    <x v="2"/>
    <d v="2021-04-30T00:00:00"/>
    <x v="30"/>
    <x v="0"/>
    <n v="1"/>
    <x v="19"/>
    <x v="4"/>
  </r>
  <r>
    <x v="2"/>
    <d v="2021-04-01T00:00:00"/>
    <x v="31"/>
    <x v="0"/>
    <n v="2"/>
    <x v="0"/>
    <x v="0"/>
  </r>
  <r>
    <x v="2"/>
    <d v="2021-04-05T00:00:00"/>
    <x v="31"/>
    <x v="0"/>
    <n v="1"/>
    <x v="1"/>
    <x v="1"/>
  </r>
  <r>
    <x v="2"/>
    <d v="2021-04-06T00:00:00"/>
    <x v="31"/>
    <x v="0"/>
    <n v="1"/>
    <x v="2"/>
    <x v="2"/>
  </r>
  <r>
    <x v="2"/>
    <d v="2021-04-07T00:00:00"/>
    <x v="31"/>
    <x v="0"/>
    <n v="1"/>
    <x v="3"/>
    <x v="3"/>
  </r>
  <r>
    <x v="2"/>
    <d v="2021-04-08T00:00:00"/>
    <x v="31"/>
    <x v="0"/>
    <n v="1"/>
    <x v="4"/>
    <x v="0"/>
  </r>
  <r>
    <x v="2"/>
    <d v="2021-04-09T00:00:00"/>
    <x v="31"/>
    <x v="0"/>
    <n v="1"/>
    <x v="5"/>
    <x v="4"/>
  </r>
  <r>
    <x v="2"/>
    <d v="2021-04-12T00:00:00"/>
    <x v="31"/>
    <x v="0"/>
    <n v="1"/>
    <x v="6"/>
    <x v="1"/>
  </r>
  <r>
    <x v="2"/>
    <d v="2021-04-12T00:00:00"/>
    <x v="31"/>
    <x v="0"/>
    <n v="2"/>
    <x v="6"/>
    <x v="1"/>
  </r>
  <r>
    <x v="2"/>
    <d v="2021-04-13T00:00:00"/>
    <x v="31"/>
    <x v="0"/>
    <n v="2"/>
    <x v="7"/>
    <x v="2"/>
  </r>
  <r>
    <x v="2"/>
    <d v="2021-04-14T00:00:00"/>
    <x v="31"/>
    <x v="0"/>
    <n v="2"/>
    <x v="8"/>
    <x v="3"/>
  </r>
  <r>
    <x v="2"/>
    <d v="2021-04-15T00:00:00"/>
    <x v="31"/>
    <x v="0"/>
    <n v="2"/>
    <x v="9"/>
    <x v="0"/>
  </r>
  <r>
    <x v="2"/>
    <d v="2021-04-16T00:00:00"/>
    <x v="31"/>
    <x v="0"/>
    <n v="2"/>
    <x v="10"/>
    <x v="4"/>
  </r>
  <r>
    <x v="2"/>
    <d v="2021-04-19T00:00:00"/>
    <x v="31"/>
    <x v="0"/>
    <n v="1"/>
    <x v="11"/>
    <x v="1"/>
  </r>
  <r>
    <x v="2"/>
    <d v="2021-04-20T00:00:00"/>
    <x v="31"/>
    <x v="0"/>
    <n v="1"/>
    <x v="12"/>
    <x v="2"/>
  </r>
  <r>
    <x v="2"/>
    <d v="2021-04-22T00:00:00"/>
    <x v="31"/>
    <x v="0"/>
    <n v="1"/>
    <x v="13"/>
    <x v="0"/>
  </r>
  <r>
    <x v="2"/>
    <d v="2021-04-23T00:00:00"/>
    <x v="31"/>
    <x v="0"/>
    <n v="2"/>
    <x v="14"/>
    <x v="4"/>
  </r>
  <r>
    <x v="2"/>
    <d v="2021-04-26T00:00:00"/>
    <x v="31"/>
    <x v="0"/>
    <n v="1"/>
    <x v="15"/>
    <x v="1"/>
  </r>
  <r>
    <x v="2"/>
    <d v="2021-04-27T00:00:00"/>
    <x v="31"/>
    <x v="0"/>
    <n v="1"/>
    <x v="16"/>
    <x v="2"/>
  </r>
  <r>
    <x v="2"/>
    <d v="2021-04-28T00:00:00"/>
    <x v="31"/>
    <x v="0"/>
    <n v="1"/>
    <x v="17"/>
    <x v="3"/>
  </r>
  <r>
    <x v="2"/>
    <d v="2021-04-29T00:00:00"/>
    <x v="31"/>
    <x v="0"/>
    <n v="1"/>
    <x v="18"/>
    <x v="0"/>
  </r>
  <r>
    <x v="2"/>
    <d v="2021-04-30T00:00:00"/>
    <x v="31"/>
    <x v="0"/>
    <n v="1"/>
    <x v="19"/>
    <x v="4"/>
  </r>
  <r>
    <x v="2"/>
    <d v="2021-04-30T00:00:00"/>
    <x v="31"/>
    <x v="0"/>
    <n v="2"/>
    <x v="19"/>
    <x v="4"/>
  </r>
  <r>
    <x v="2"/>
    <d v="2021-04-01T00:00:00"/>
    <x v="32"/>
    <x v="0"/>
    <n v="2"/>
    <x v="0"/>
    <x v="0"/>
  </r>
  <r>
    <x v="2"/>
    <d v="2021-04-01T00:00:00"/>
    <x v="32"/>
    <x v="0"/>
    <n v="1"/>
    <x v="0"/>
    <x v="0"/>
  </r>
  <r>
    <x v="2"/>
    <d v="2021-04-05T00:00:00"/>
    <x v="32"/>
    <x v="0"/>
    <n v="2"/>
    <x v="1"/>
    <x v="1"/>
  </r>
  <r>
    <x v="2"/>
    <d v="2021-04-05T00:00:00"/>
    <x v="32"/>
    <x v="0"/>
    <n v="2"/>
    <x v="1"/>
    <x v="1"/>
  </r>
  <r>
    <x v="2"/>
    <d v="2021-04-05T00:00:00"/>
    <x v="32"/>
    <x v="0"/>
    <n v="1"/>
    <x v="1"/>
    <x v="1"/>
  </r>
  <r>
    <x v="2"/>
    <d v="2021-04-05T00:00:00"/>
    <x v="32"/>
    <x v="0"/>
    <n v="2"/>
    <x v="1"/>
    <x v="1"/>
  </r>
  <r>
    <x v="2"/>
    <d v="2021-04-05T00:00:00"/>
    <x v="32"/>
    <x v="0"/>
    <n v="1"/>
    <x v="1"/>
    <x v="1"/>
  </r>
  <r>
    <x v="2"/>
    <d v="2021-04-06T00:00:00"/>
    <x v="32"/>
    <x v="0"/>
    <n v="1"/>
    <x v="2"/>
    <x v="2"/>
  </r>
  <r>
    <x v="2"/>
    <d v="2021-04-06T00:00:00"/>
    <x v="32"/>
    <x v="0"/>
    <n v="1"/>
    <x v="2"/>
    <x v="2"/>
  </r>
  <r>
    <x v="2"/>
    <d v="2021-04-06T00:00:00"/>
    <x v="32"/>
    <x v="0"/>
    <n v="1"/>
    <x v="2"/>
    <x v="2"/>
  </r>
  <r>
    <x v="2"/>
    <d v="2021-04-07T00:00:00"/>
    <x v="32"/>
    <x v="0"/>
    <n v="1"/>
    <x v="3"/>
    <x v="3"/>
  </r>
  <r>
    <x v="2"/>
    <d v="2021-04-07T00:00:00"/>
    <x v="32"/>
    <x v="0"/>
    <n v="2"/>
    <x v="3"/>
    <x v="3"/>
  </r>
  <r>
    <x v="2"/>
    <d v="2021-04-07T00:00:00"/>
    <x v="32"/>
    <x v="0"/>
    <n v="2"/>
    <x v="3"/>
    <x v="3"/>
  </r>
  <r>
    <x v="2"/>
    <d v="2021-04-08T00:00:00"/>
    <x v="32"/>
    <x v="0"/>
    <n v="1"/>
    <x v="4"/>
    <x v="0"/>
  </r>
  <r>
    <x v="2"/>
    <d v="2021-04-08T00:00:00"/>
    <x v="32"/>
    <x v="0"/>
    <n v="1"/>
    <x v="4"/>
    <x v="0"/>
  </r>
  <r>
    <x v="2"/>
    <d v="2021-04-08T00:00:00"/>
    <x v="32"/>
    <x v="0"/>
    <n v="1"/>
    <x v="4"/>
    <x v="0"/>
  </r>
  <r>
    <x v="2"/>
    <d v="2021-04-09T00:00:00"/>
    <x v="32"/>
    <x v="0"/>
    <n v="2"/>
    <x v="5"/>
    <x v="4"/>
  </r>
  <r>
    <x v="2"/>
    <d v="2021-04-09T00:00:00"/>
    <x v="32"/>
    <x v="0"/>
    <n v="1"/>
    <x v="5"/>
    <x v="4"/>
  </r>
  <r>
    <x v="2"/>
    <d v="2021-04-12T00:00:00"/>
    <x v="32"/>
    <x v="0"/>
    <n v="1"/>
    <x v="6"/>
    <x v="1"/>
  </r>
  <r>
    <x v="2"/>
    <d v="2021-04-13T00:00:00"/>
    <x v="32"/>
    <x v="0"/>
    <n v="1"/>
    <x v="7"/>
    <x v="2"/>
  </r>
  <r>
    <x v="2"/>
    <d v="2021-04-14T00:00:00"/>
    <x v="32"/>
    <x v="0"/>
    <n v="1"/>
    <x v="8"/>
    <x v="3"/>
  </r>
  <r>
    <x v="2"/>
    <d v="2021-04-15T00:00:00"/>
    <x v="32"/>
    <x v="0"/>
    <n v="2"/>
    <x v="9"/>
    <x v="0"/>
  </r>
  <r>
    <x v="2"/>
    <d v="2021-04-15T00:00:00"/>
    <x v="32"/>
    <x v="0"/>
    <n v="1"/>
    <x v="9"/>
    <x v="0"/>
  </r>
  <r>
    <x v="2"/>
    <d v="2021-04-16T00:00:00"/>
    <x v="32"/>
    <x v="0"/>
    <n v="2"/>
    <x v="10"/>
    <x v="4"/>
  </r>
  <r>
    <x v="2"/>
    <d v="2021-04-17T00:00:00"/>
    <x v="32"/>
    <x v="0"/>
    <n v="1"/>
    <x v="20"/>
    <x v="5"/>
  </r>
  <r>
    <x v="2"/>
    <d v="2021-04-17T00:00:00"/>
    <x v="32"/>
    <x v="0"/>
    <n v="2"/>
    <x v="20"/>
    <x v="5"/>
  </r>
  <r>
    <x v="2"/>
    <d v="2021-04-19T00:00:00"/>
    <x v="32"/>
    <x v="0"/>
    <n v="2"/>
    <x v="11"/>
    <x v="1"/>
  </r>
  <r>
    <x v="2"/>
    <d v="2021-04-20T00:00:00"/>
    <x v="32"/>
    <x v="0"/>
    <n v="1"/>
    <x v="12"/>
    <x v="2"/>
  </r>
  <r>
    <x v="2"/>
    <d v="2021-04-22T00:00:00"/>
    <x v="32"/>
    <x v="0"/>
    <n v="1"/>
    <x v="13"/>
    <x v="0"/>
  </r>
  <r>
    <x v="2"/>
    <d v="2021-04-22T00:00:00"/>
    <x v="32"/>
    <x v="0"/>
    <n v="2"/>
    <x v="13"/>
    <x v="0"/>
  </r>
  <r>
    <x v="2"/>
    <d v="2021-04-23T00:00:00"/>
    <x v="32"/>
    <x v="0"/>
    <n v="2"/>
    <x v="14"/>
    <x v="4"/>
  </r>
  <r>
    <x v="2"/>
    <d v="2021-04-26T00:00:00"/>
    <x v="32"/>
    <x v="0"/>
    <n v="1"/>
    <x v="15"/>
    <x v="1"/>
  </r>
  <r>
    <x v="2"/>
    <d v="2021-04-27T00:00:00"/>
    <x v="32"/>
    <x v="0"/>
    <n v="1"/>
    <x v="16"/>
    <x v="2"/>
  </r>
  <r>
    <x v="2"/>
    <d v="2021-04-27T00:00:00"/>
    <x v="32"/>
    <x v="0"/>
    <n v="1"/>
    <x v="16"/>
    <x v="2"/>
  </r>
  <r>
    <x v="2"/>
    <d v="2021-04-28T00:00:00"/>
    <x v="32"/>
    <x v="0"/>
    <n v="1"/>
    <x v="17"/>
    <x v="3"/>
  </r>
  <r>
    <x v="2"/>
    <d v="2021-04-29T00:00:00"/>
    <x v="32"/>
    <x v="0"/>
    <n v="1"/>
    <x v="18"/>
    <x v="0"/>
  </r>
  <r>
    <x v="2"/>
    <d v="2021-04-29T00:00:00"/>
    <x v="32"/>
    <x v="0"/>
    <n v="1"/>
    <x v="18"/>
    <x v="0"/>
  </r>
  <r>
    <x v="2"/>
    <d v="2021-04-30T00:00:00"/>
    <x v="32"/>
    <x v="0"/>
    <n v="2"/>
    <x v="19"/>
    <x v="4"/>
  </r>
  <r>
    <x v="2"/>
    <d v="2021-04-30T00:00:00"/>
    <x v="32"/>
    <x v="0"/>
    <n v="2"/>
    <x v="19"/>
    <x v="4"/>
  </r>
  <r>
    <x v="2"/>
    <d v="2021-04-01T00:00:00"/>
    <x v="33"/>
    <x v="0"/>
    <n v="2"/>
    <x v="0"/>
    <x v="0"/>
  </r>
  <r>
    <x v="2"/>
    <d v="2021-04-05T00:00:00"/>
    <x v="33"/>
    <x v="0"/>
    <n v="1"/>
    <x v="1"/>
    <x v="1"/>
  </r>
  <r>
    <x v="2"/>
    <d v="2021-04-05T00:00:00"/>
    <x v="33"/>
    <x v="0"/>
    <n v="1"/>
    <x v="1"/>
    <x v="1"/>
  </r>
  <r>
    <x v="2"/>
    <d v="2021-04-05T00:00:00"/>
    <x v="33"/>
    <x v="0"/>
    <n v="1"/>
    <x v="1"/>
    <x v="1"/>
  </r>
  <r>
    <x v="2"/>
    <d v="2021-04-06T00:00:00"/>
    <x v="33"/>
    <x v="0"/>
    <n v="2"/>
    <x v="2"/>
    <x v="2"/>
  </r>
  <r>
    <x v="2"/>
    <d v="2021-04-06T00:00:00"/>
    <x v="33"/>
    <x v="0"/>
    <n v="2"/>
    <x v="2"/>
    <x v="2"/>
  </r>
  <r>
    <x v="2"/>
    <d v="2021-04-06T00:00:00"/>
    <x v="33"/>
    <x v="0"/>
    <n v="2"/>
    <x v="2"/>
    <x v="2"/>
  </r>
  <r>
    <x v="2"/>
    <d v="2021-04-07T00:00:00"/>
    <x v="33"/>
    <x v="0"/>
    <n v="2"/>
    <x v="3"/>
    <x v="3"/>
  </r>
  <r>
    <x v="2"/>
    <d v="2021-04-07T00:00:00"/>
    <x v="33"/>
    <x v="0"/>
    <n v="1"/>
    <x v="3"/>
    <x v="3"/>
  </r>
  <r>
    <x v="2"/>
    <d v="2021-04-07T00:00:00"/>
    <x v="33"/>
    <x v="0"/>
    <n v="1"/>
    <x v="3"/>
    <x v="3"/>
  </r>
  <r>
    <x v="2"/>
    <d v="2021-04-08T00:00:00"/>
    <x v="33"/>
    <x v="0"/>
    <n v="2"/>
    <x v="4"/>
    <x v="0"/>
  </r>
  <r>
    <x v="2"/>
    <d v="2021-04-08T00:00:00"/>
    <x v="33"/>
    <x v="0"/>
    <n v="1"/>
    <x v="4"/>
    <x v="0"/>
  </r>
  <r>
    <x v="2"/>
    <d v="2021-04-08T00:00:00"/>
    <x v="33"/>
    <x v="0"/>
    <n v="1"/>
    <x v="4"/>
    <x v="0"/>
  </r>
  <r>
    <x v="2"/>
    <d v="2021-04-09T00:00:00"/>
    <x v="33"/>
    <x v="0"/>
    <n v="2"/>
    <x v="5"/>
    <x v="4"/>
  </r>
  <r>
    <x v="2"/>
    <d v="2021-04-09T00:00:00"/>
    <x v="33"/>
    <x v="0"/>
    <n v="1"/>
    <x v="5"/>
    <x v="4"/>
  </r>
  <r>
    <x v="2"/>
    <d v="2021-04-09T00:00:00"/>
    <x v="33"/>
    <x v="0"/>
    <n v="1"/>
    <x v="5"/>
    <x v="4"/>
  </r>
  <r>
    <x v="2"/>
    <d v="2021-04-10T00:00:00"/>
    <x v="33"/>
    <x v="0"/>
    <n v="1"/>
    <x v="23"/>
    <x v="5"/>
  </r>
  <r>
    <x v="2"/>
    <d v="2021-04-10T00:00:00"/>
    <x v="33"/>
    <x v="0"/>
    <n v="2"/>
    <x v="23"/>
    <x v="5"/>
  </r>
  <r>
    <x v="2"/>
    <d v="2021-04-12T00:00:00"/>
    <x v="33"/>
    <x v="0"/>
    <n v="1"/>
    <x v="6"/>
    <x v="1"/>
  </r>
  <r>
    <x v="2"/>
    <d v="2021-04-12T00:00:00"/>
    <x v="33"/>
    <x v="0"/>
    <n v="2"/>
    <x v="6"/>
    <x v="1"/>
  </r>
  <r>
    <x v="2"/>
    <d v="2021-04-12T00:00:00"/>
    <x v="33"/>
    <x v="0"/>
    <n v="1"/>
    <x v="6"/>
    <x v="1"/>
  </r>
  <r>
    <x v="2"/>
    <d v="2021-04-13T00:00:00"/>
    <x v="33"/>
    <x v="0"/>
    <n v="1"/>
    <x v="7"/>
    <x v="2"/>
  </r>
  <r>
    <x v="2"/>
    <d v="2021-04-13T00:00:00"/>
    <x v="33"/>
    <x v="0"/>
    <n v="1"/>
    <x v="7"/>
    <x v="2"/>
  </r>
  <r>
    <x v="2"/>
    <d v="2021-04-13T00:00:00"/>
    <x v="33"/>
    <x v="0"/>
    <n v="2"/>
    <x v="7"/>
    <x v="2"/>
  </r>
  <r>
    <x v="2"/>
    <d v="2021-04-14T00:00:00"/>
    <x v="33"/>
    <x v="0"/>
    <n v="1"/>
    <x v="8"/>
    <x v="3"/>
  </r>
  <r>
    <x v="2"/>
    <d v="2021-04-15T00:00:00"/>
    <x v="33"/>
    <x v="0"/>
    <n v="1"/>
    <x v="9"/>
    <x v="0"/>
  </r>
  <r>
    <x v="2"/>
    <d v="2021-04-15T00:00:00"/>
    <x v="33"/>
    <x v="0"/>
    <n v="1"/>
    <x v="9"/>
    <x v="0"/>
  </r>
  <r>
    <x v="2"/>
    <d v="2021-04-15T00:00:00"/>
    <x v="33"/>
    <x v="0"/>
    <n v="2"/>
    <x v="9"/>
    <x v="0"/>
  </r>
  <r>
    <x v="2"/>
    <d v="2021-04-16T00:00:00"/>
    <x v="33"/>
    <x v="0"/>
    <n v="1"/>
    <x v="10"/>
    <x v="4"/>
  </r>
  <r>
    <x v="2"/>
    <d v="2021-04-16T00:00:00"/>
    <x v="33"/>
    <x v="0"/>
    <n v="1"/>
    <x v="10"/>
    <x v="4"/>
  </r>
  <r>
    <x v="2"/>
    <d v="2021-04-16T00:00:00"/>
    <x v="33"/>
    <x v="0"/>
    <n v="2"/>
    <x v="10"/>
    <x v="4"/>
  </r>
  <r>
    <x v="2"/>
    <d v="2021-04-19T00:00:00"/>
    <x v="33"/>
    <x v="0"/>
    <n v="2"/>
    <x v="11"/>
    <x v="1"/>
  </r>
  <r>
    <x v="2"/>
    <d v="2021-04-19T00:00:00"/>
    <x v="33"/>
    <x v="0"/>
    <n v="2"/>
    <x v="11"/>
    <x v="1"/>
  </r>
  <r>
    <x v="2"/>
    <d v="2021-04-19T00:00:00"/>
    <x v="33"/>
    <x v="0"/>
    <n v="1"/>
    <x v="11"/>
    <x v="1"/>
  </r>
  <r>
    <x v="2"/>
    <d v="2021-04-20T00:00:00"/>
    <x v="33"/>
    <x v="0"/>
    <n v="2"/>
    <x v="12"/>
    <x v="2"/>
  </r>
  <r>
    <x v="2"/>
    <d v="2021-04-22T00:00:00"/>
    <x v="33"/>
    <x v="0"/>
    <n v="1"/>
    <x v="13"/>
    <x v="0"/>
  </r>
  <r>
    <x v="2"/>
    <d v="2021-04-23T00:00:00"/>
    <x v="33"/>
    <x v="0"/>
    <n v="1"/>
    <x v="14"/>
    <x v="4"/>
  </r>
  <r>
    <x v="2"/>
    <d v="2021-04-26T00:00:00"/>
    <x v="33"/>
    <x v="0"/>
    <n v="2"/>
    <x v="15"/>
    <x v="1"/>
  </r>
  <r>
    <x v="2"/>
    <d v="2021-04-27T00:00:00"/>
    <x v="33"/>
    <x v="0"/>
    <n v="1"/>
    <x v="16"/>
    <x v="2"/>
  </r>
  <r>
    <x v="2"/>
    <d v="2021-04-27T00:00:00"/>
    <x v="33"/>
    <x v="0"/>
    <n v="1"/>
    <x v="16"/>
    <x v="2"/>
  </r>
  <r>
    <x v="2"/>
    <d v="2021-04-27T00:00:00"/>
    <x v="33"/>
    <x v="0"/>
    <n v="2"/>
    <x v="16"/>
    <x v="2"/>
  </r>
  <r>
    <x v="2"/>
    <d v="2021-04-28T00:00:00"/>
    <x v="33"/>
    <x v="0"/>
    <n v="2"/>
    <x v="17"/>
    <x v="3"/>
  </r>
  <r>
    <x v="2"/>
    <d v="2021-04-29T00:00:00"/>
    <x v="33"/>
    <x v="0"/>
    <n v="2"/>
    <x v="18"/>
    <x v="0"/>
  </r>
  <r>
    <x v="2"/>
    <d v="2021-04-30T00:00:00"/>
    <x v="33"/>
    <x v="0"/>
    <n v="2"/>
    <x v="19"/>
    <x v="4"/>
  </r>
  <r>
    <x v="2"/>
    <d v="2021-04-30T00:00:00"/>
    <x v="33"/>
    <x v="0"/>
    <n v="2"/>
    <x v="19"/>
    <x v="4"/>
  </r>
  <r>
    <x v="2"/>
    <d v="2021-04-30T00:00:00"/>
    <x v="33"/>
    <x v="0"/>
    <n v="1"/>
    <x v="19"/>
    <x v="4"/>
  </r>
  <r>
    <x v="2"/>
    <d v="2021-04-01T00:00:00"/>
    <x v="34"/>
    <x v="0"/>
    <n v="1"/>
    <x v="0"/>
    <x v="0"/>
  </r>
  <r>
    <x v="2"/>
    <d v="2021-04-05T00:00:00"/>
    <x v="34"/>
    <x v="0"/>
    <n v="2"/>
    <x v="1"/>
    <x v="1"/>
  </r>
  <r>
    <x v="2"/>
    <d v="2021-04-06T00:00:00"/>
    <x v="34"/>
    <x v="0"/>
    <n v="2"/>
    <x v="2"/>
    <x v="2"/>
  </r>
  <r>
    <x v="2"/>
    <d v="2021-04-07T00:00:00"/>
    <x v="34"/>
    <x v="0"/>
    <n v="2"/>
    <x v="3"/>
    <x v="3"/>
  </r>
  <r>
    <x v="2"/>
    <d v="2021-04-08T00:00:00"/>
    <x v="34"/>
    <x v="0"/>
    <n v="1"/>
    <x v="4"/>
    <x v="0"/>
  </r>
  <r>
    <x v="2"/>
    <d v="2021-04-09T00:00:00"/>
    <x v="34"/>
    <x v="0"/>
    <n v="1"/>
    <x v="5"/>
    <x v="4"/>
  </r>
  <r>
    <x v="2"/>
    <d v="2021-04-10T00:00:00"/>
    <x v="34"/>
    <x v="0"/>
    <n v="2"/>
    <x v="23"/>
    <x v="5"/>
  </r>
  <r>
    <x v="2"/>
    <d v="2021-04-12T00:00:00"/>
    <x v="34"/>
    <x v="0"/>
    <n v="2"/>
    <x v="6"/>
    <x v="1"/>
  </r>
  <r>
    <x v="2"/>
    <d v="2021-04-13T00:00:00"/>
    <x v="34"/>
    <x v="0"/>
    <n v="2"/>
    <x v="7"/>
    <x v="2"/>
  </r>
  <r>
    <x v="2"/>
    <d v="2021-04-14T00:00:00"/>
    <x v="34"/>
    <x v="0"/>
    <n v="2"/>
    <x v="8"/>
    <x v="3"/>
  </r>
  <r>
    <x v="2"/>
    <d v="2021-04-15T00:00:00"/>
    <x v="34"/>
    <x v="0"/>
    <n v="1"/>
    <x v="9"/>
    <x v="0"/>
  </r>
  <r>
    <x v="2"/>
    <d v="2021-04-15T00:00:00"/>
    <x v="34"/>
    <x v="0"/>
    <n v="2"/>
    <x v="9"/>
    <x v="0"/>
  </r>
  <r>
    <x v="2"/>
    <d v="2021-04-16T00:00:00"/>
    <x v="34"/>
    <x v="0"/>
    <n v="1"/>
    <x v="10"/>
    <x v="4"/>
  </r>
  <r>
    <x v="2"/>
    <d v="2021-04-16T00:00:00"/>
    <x v="34"/>
    <x v="0"/>
    <n v="2"/>
    <x v="10"/>
    <x v="4"/>
  </r>
  <r>
    <x v="2"/>
    <d v="2021-04-16T00:00:00"/>
    <x v="34"/>
    <x v="0"/>
    <n v="1"/>
    <x v="10"/>
    <x v="4"/>
  </r>
  <r>
    <x v="2"/>
    <d v="2021-04-19T00:00:00"/>
    <x v="34"/>
    <x v="0"/>
    <n v="1"/>
    <x v="11"/>
    <x v="1"/>
  </r>
  <r>
    <x v="2"/>
    <d v="2021-04-19T00:00:00"/>
    <x v="34"/>
    <x v="0"/>
    <n v="2"/>
    <x v="11"/>
    <x v="1"/>
  </r>
  <r>
    <x v="2"/>
    <d v="2021-04-20T00:00:00"/>
    <x v="34"/>
    <x v="0"/>
    <n v="1"/>
    <x v="12"/>
    <x v="2"/>
  </r>
  <r>
    <x v="2"/>
    <d v="2021-04-20T00:00:00"/>
    <x v="34"/>
    <x v="0"/>
    <n v="1"/>
    <x v="12"/>
    <x v="2"/>
  </r>
  <r>
    <x v="2"/>
    <d v="2021-04-21T00:00:00"/>
    <x v="34"/>
    <x v="0"/>
    <n v="1"/>
    <x v="26"/>
    <x v="3"/>
  </r>
  <r>
    <x v="2"/>
    <d v="2021-04-22T00:00:00"/>
    <x v="34"/>
    <x v="0"/>
    <n v="2"/>
    <x v="13"/>
    <x v="0"/>
  </r>
  <r>
    <x v="2"/>
    <d v="2021-04-22T00:00:00"/>
    <x v="34"/>
    <x v="0"/>
    <n v="1"/>
    <x v="13"/>
    <x v="0"/>
  </r>
  <r>
    <x v="2"/>
    <d v="2021-04-23T00:00:00"/>
    <x v="34"/>
    <x v="0"/>
    <n v="1"/>
    <x v="14"/>
    <x v="4"/>
  </r>
  <r>
    <x v="2"/>
    <d v="2021-04-23T00:00:00"/>
    <x v="34"/>
    <x v="0"/>
    <n v="2"/>
    <x v="14"/>
    <x v="4"/>
  </r>
  <r>
    <x v="2"/>
    <d v="2021-04-25T00:00:00"/>
    <x v="34"/>
    <x v="0"/>
    <n v="1"/>
    <x v="28"/>
    <x v="5"/>
  </r>
  <r>
    <x v="2"/>
    <d v="2021-04-26T00:00:00"/>
    <x v="34"/>
    <x v="0"/>
    <n v="1"/>
    <x v="15"/>
    <x v="1"/>
  </r>
  <r>
    <x v="2"/>
    <d v="2021-04-27T00:00:00"/>
    <x v="34"/>
    <x v="0"/>
    <n v="2"/>
    <x v="16"/>
    <x v="2"/>
  </r>
  <r>
    <x v="2"/>
    <d v="2021-04-27T00:00:00"/>
    <x v="34"/>
    <x v="0"/>
    <n v="2"/>
    <x v="16"/>
    <x v="2"/>
  </r>
  <r>
    <x v="2"/>
    <d v="2021-04-28T00:00:00"/>
    <x v="34"/>
    <x v="0"/>
    <n v="1"/>
    <x v="17"/>
    <x v="3"/>
  </r>
  <r>
    <x v="2"/>
    <d v="2021-04-28T00:00:00"/>
    <x v="34"/>
    <x v="0"/>
    <n v="1"/>
    <x v="17"/>
    <x v="3"/>
  </r>
  <r>
    <x v="2"/>
    <d v="2021-04-29T00:00:00"/>
    <x v="34"/>
    <x v="0"/>
    <n v="1"/>
    <x v="18"/>
    <x v="0"/>
  </r>
  <r>
    <x v="2"/>
    <d v="2021-04-30T00:00:00"/>
    <x v="34"/>
    <x v="0"/>
    <n v="1"/>
    <x v="19"/>
    <x v="4"/>
  </r>
  <r>
    <x v="2"/>
    <d v="2021-04-30T00:00:00"/>
    <x v="34"/>
    <x v="0"/>
    <n v="1"/>
    <x v="19"/>
    <x v="4"/>
  </r>
  <r>
    <x v="2"/>
    <d v="2021-04-01T00:00:00"/>
    <x v="35"/>
    <x v="0"/>
    <n v="2"/>
    <x v="0"/>
    <x v="0"/>
  </r>
  <r>
    <x v="2"/>
    <d v="2021-04-01T00:00:00"/>
    <x v="35"/>
    <x v="0"/>
    <n v="1"/>
    <x v="0"/>
    <x v="0"/>
  </r>
  <r>
    <x v="2"/>
    <d v="2021-04-01T00:00:00"/>
    <x v="35"/>
    <x v="0"/>
    <n v="1"/>
    <x v="0"/>
    <x v="0"/>
  </r>
  <r>
    <x v="2"/>
    <d v="2021-04-05T00:00:00"/>
    <x v="35"/>
    <x v="0"/>
    <n v="2"/>
    <x v="1"/>
    <x v="1"/>
  </r>
  <r>
    <x v="2"/>
    <d v="2021-04-06T00:00:00"/>
    <x v="35"/>
    <x v="0"/>
    <n v="1"/>
    <x v="2"/>
    <x v="2"/>
  </r>
  <r>
    <x v="2"/>
    <d v="2021-04-06T00:00:00"/>
    <x v="35"/>
    <x v="0"/>
    <n v="1"/>
    <x v="2"/>
    <x v="2"/>
  </r>
  <r>
    <x v="2"/>
    <d v="2021-04-07T00:00:00"/>
    <x v="35"/>
    <x v="0"/>
    <n v="1"/>
    <x v="3"/>
    <x v="3"/>
  </r>
  <r>
    <x v="2"/>
    <d v="2021-04-08T00:00:00"/>
    <x v="35"/>
    <x v="0"/>
    <n v="2"/>
    <x v="4"/>
    <x v="0"/>
  </r>
  <r>
    <x v="2"/>
    <d v="2021-04-09T00:00:00"/>
    <x v="35"/>
    <x v="0"/>
    <n v="2"/>
    <x v="5"/>
    <x v="4"/>
  </r>
  <r>
    <x v="2"/>
    <d v="2021-04-12T00:00:00"/>
    <x v="35"/>
    <x v="0"/>
    <n v="1"/>
    <x v="6"/>
    <x v="1"/>
  </r>
  <r>
    <x v="2"/>
    <d v="2021-04-13T00:00:00"/>
    <x v="35"/>
    <x v="0"/>
    <n v="1"/>
    <x v="7"/>
    <x v="2"/>
  </r>
  <r>
    <x v="2"/>
    <d v="2021-04-13T00:00:00"/>
    <x v="35"/>
    <x v="0"/>
    <n v="2"/>
    <x v="7"/>
    <x v="2"/>
  </r>
  <r>
    <x v="2"/>
    <d v="2021-04-14T00:00:00"/>
    <x v="35"/>
    <x v="0"/>
    <n v="1"/>
    <x v="8"/>
    <x v="3"/>
  </r>
  <r>
    <x v="2"/>
    <d v="2021-04-14T00:00:00"/>
    <x v="35"/>
    <x v="0"/>
    <n v="1"/>
    <x v="8"/>
    <x v="3"/>
  </r>
  <r>
    <x v="2"/>
    <d v="2021-04-14T00:00:00"/>
    <x v="35"/>
    <x v="0"/>
    <n v="2"/>
    <x v="8"/>
    <x v="3"/>
  </r>
  <r>
    <x v="2"/>
    <d v="2021-04-15T00:00:00"/>
    <x v="35"/>
    <x v="0"/>
    <n v="1"/>
    <x v="9"/>
    <x v="0"/>
  </r>
  <r>
    <x v="2"/>
    <d v="2021-04-16T00:00:00"/>
    <x v="35"/>
    <x v="0"/>
    <n v="2"/>
    <x v="10"/>
    <x v="4"/>
  </r>
  <r>
    <x v="2"/>
    <d v="2021-04-16T00:00:00"/>
    <x v="35"/>
    <x v="0"/>
    <n v="2"/>
    <x v="10"/>
    <x v="4"/>
  </r>
  <r>
    <x v="2"/>
    <d v="2021-04-16T00:00:00"/>
    <x v="35"/>
    <x v="0"/>
    <n v="2"/>
    <x v="10"/>
    <x v="4"/>
  </r>
  <r>
    <x v="2"/>
    <d v="2021-04-19T00:00:00"/>
    <x v="35"/>
    <x v="0"/>
    <n v="2"/>
    <x v="11"/>
    <x v="1"/>
  </r>
  <r>
    <x v="2"/>
    <d v="2021-04-20T00:00:00"/>
    <x v="35"/>
    <x v="0"/>
    <n v="1"/>
    <x v="12"/>
    <x v="2"/>
  </r>
  <r>
    <x v="2"/>
    <d v="2021-04-20T00:00:00"/>
    <x v="35"/>
    <x v="0"/>
    <n v="2"/>
    <x v="12"/>
    <x v="2"/>
  </r>
  <r>
    <x v="2"/>
    <d v="2021-04-22T00:00:00"/>
    <x v="35"/>
    <x v="0"/>
    <n v="1"/>
    <x v="13"/>
    <x v="0"/>
  </r>
  <r>
    <x v="2"/>
    <d v="2021-04-23T00:00:00"/>
    <x v="35"/>
    <x v="0"/>
    <n v="2"/>
    <x v="14"/>
    <x v="4"/>
  </r>
  <r>
    <x v="2"/>
    <d v="2021-04-26T00:00:00"/>
    <x v="35"/>
    <x v="0"/>
    <n v="1"/>
    <x v="15"/>
    <x v="1"/>
  </r>
  <r>
    <x v="2"/>
    <d v="2021-04-26T00:00:00"/>
    <x v="35"/>
    <x v="0"/>
    <n v="1"/>
    <x v="15"/>
    <x v="1"/>
  </r>
  <r>
    <x v="2"/>
    <d v="2021-04-26T00:00:00"/>
    <x v="35"/>
    <x v="0"/>
    <n v="1"/>
    <x v="15"/>
    <x v="1"/>
  </r>
  <r>
    <x v="2"/>
    <d v="2021-04-27T00:00:00"/>
    <x v="35"/>
    <x v="0"/>
    <n v="1"/>
    <x v="16"/>
    <x v="2"/>
  </r>
  <r>
    <x v="2"/>
    <d v="2021-04-28T00:00:00"/>
    <x v="35"/>
    <x v="0"/>
    <n v="1"/>
    <x v="17"/>
    <x v="3"/>
  </r>
  <r>
    <x v="2"/>
    <d v="2021-04-29T00:00:00"/>
    <x v="35"/>
    <x v="0"/>
    <n v="1"/>
    <x v="18"/>
    <x v="0"/>
  </r>
  <r>
    <x v="2"/>
    <d v="2021-04-30T00:00:00"/>
    <x v="35"/>
    <x v="0"/>
    <n v="2"/>
    <x v="19"/>
    <x v="4"/>
  </r>
  <r>
    <x v="2"/>
    <d v="2021-04-30T00:00:00"/>
    <x v="35"/>
    <x v="0"/>
    <n v="1"/>
    <x v="19"/>
    <x v="4"/>
  </r>
  <r>
    <x v="2"/>
    <d v="2021-04-30T00:00:00"/>
    <x v="35"/>
    <x v="0"/>
    <n v="1"/>
    <x v="19"/>
    <x v="4"/>
  </r>
  <r>
    <x v="2"/>
    <d v="2021-04-01T00:00:00"/>
    <x v="36"/>
    <x v="0"/>
    <n v="1"/>
    <x v="0"/>
    <x v="0"/>
  </r>
  <r>
    <x v="2"/>
    <d v="2021-04-04T00:00:00"/>
    <x v="36"/>
    <x v="0"/>
    <n v="1"/>
    <x v="22"/>
    <x v="5"/>
  </r>
  <r>
    <x v="2"/>
    <d v="2021-04-05T00:00:00"/>
    <x v="36"/>
    <x v="0"/>
    <n v="2"/>
    <x v="1"/>
    <x v="1"/>
  </r>
  <r>
    <x v="2"/>
    <d v="2021-04-06T00:00:00"/>
    <x v="36"/>
    <x v="0"/>
    <n v="2"/>
    <x v="2"/>
    <x v="2"/>
  </r>
  <r>
    <x v="2"/>
    <d v="2021-04-07T00:00:00"/>
    <x v="36"/>
    <x v="0"/>
    <n v="1"/>
    <x v="3"/>
    <x v="3"/>
  </r>
  <r>
    <x v="2"/>
    <d v="2021-04-08T00:00:00"/>
    <x v="36"/>
    <x v="0"/>
    <n v="2"/>
    <x v="4"/>
    <x v="0"/>
  </r>
  <r>
    <x v="2"/>
    <d v="2021-04-09T00:00:00"/>
    <x v="36"/>
    <x v="0"/>
    <n v="2"/>
    <x v="5"/>
    <x v="4"/>
  </r>
  <r>
    <x v="2"/>
    <d v="2021-04-12T00:00:00"/>
    <x v="36"/>
    <x v="0"/>
    <n v="2"/>
    <x v="6"/>
    <x v="1"/>
  </r>
  <r>
    <x v="2"/>
    <d v="2021-04-12T00:00:00"/>
    <x v="36"/>
    <x v="0"/>
    <n v="2"/>
    <x v="6"/>
    <x v="1"/>
  </r>
  <r>
    <x v="2"/>
    <d v="2021-04-12T00:00:00"/>
    <x v="36"/>
    <x v="0"/>
    <n v="2"/>
    <x v="6"/>
    <x v="1"/>
  </r>
  <r>
    <x v="2"/>
    <d v="2021-04-13T00:00:00"/>
    <x v="36"/>
    <x v="0"/>
    <n v="2"/>
    <x v="7"/>
    <x v="2"/>
  </r>
  <r>
    <x v="2"/>
    <d v="2021-04-13T00:00:00"/>
    <x v="36"/>
    <x v="0"/>
    <n v="1"/>
    <x v="7"/>
    <x v="2"/>
  </r>
  <r>
    <x v="2"/>
    <d v="2021-04-13T00:00:00"/>
    <x v="36"/>
    <x v="0"/>
    <n v="1"/>
    <x v="7"/>
    <x v="2"/>
  </r>
  <r>
    <x v="2"/>
    <d v="2021-04-14T00:00:00"/>
    <x v="36"/>
    <x v="0"/>
    <n v="2"/>
    <x v="8"/>
    <x v="3"/>
  </r>
  <r>
    <x v="2"/>
    <d v="2021-04-14T00:00:00"/>
    <x v="36"/>
    <x v="0"/>
    <n v="1"/>
    <x v="8"/>
    <x v="3"/>
  </r>
  <r>
    <x v="2"/>
    <d v="2021-04-14T00:00:00"/>
    <x v="36"/>
    <x v="0"/>
    <n v="2"/>
    <x v="8"/>
    <x v="3"/>
  </r>
  <r>
    <x v="2"/>
    <d v="2021-04-15T00:00:00"/>
    <x v="36"/>
    <x v="0"/>
    <n v="2"/>
    <x v="9"/>
    <x v="0"/>
  </r>
  <r>
    <x v="2"/>
    <d v="2021-04-15T00:00:00"/>
    <x v="36"/>
    <x v="0"/>
    <n v="2"/>
    <x v="9"/>
    <x v="0"/>
  </r>
  <r>
    <x v="2"/>
    <d v="2021-04-15T00:00:00"/>
    <x v="36"/>
    <x v="0"/>
    <n v="1"/>
    <x v="9"/>
    <x v="0"/>
  </r>
  <r>
    <x v="2"/>
    <d v="2021-04-15T00:00:00"/>
    <x v="36"/>
    <x v="0"/>
    <n v="2"/>
    <x v="9"/>
    <x v="0"/>
  </r>
  <r>
    <x v="2"/>
    <d v="2021-04-16T00:00:00"/>
    <x v="36"/>
    <x v="0"/>
    <n v="1"/>
    <x v="10"/>
    <x v="4"/>
  </r>
  <r>
    <x v="2"/>
    <d v="2021-04-16T00:00:00"/>
    <x v="36"/>
    <x v="0"/>
    <n v="1"/>
    <x v="10"/>
    <x v="4"/>
  </r>
  <r>
    <x v="2"/>
    <d v="2021-04-16T00:00:00"/>
    <x v="36"/>
    <x v="0"/>
    <n v="1"/>
    <x v="10"/>
    <x v="4"/>
  </r>
  <r>
    <x v="2"/>
    <d v="2021-04-16T00:00:00"/>
    <x v="36"/>
    <x v="0"/>
    <n v="2"/>
    <x v="10"/>
    <x v="4"/>
  </r>
  <r>
    <x v="2"/>
    <d v="2021-04-19T00:00:00"/>
    <x v="36"/>
    <x v="0"/>
    <n v="1"/>
    <x v="11"/>
    <x v="1"/>
  </r>
  <r>
    <x v="2"/>
    <d v="2021-04-20T00:00:00"/>
    <x v="36"/>
    <x v="0"/>
    <n v="2"/>
    <x v="12"/>
    <x v="2"/>
  </r>
  <r>
    <x v="2"/>
    <d v="2021-04-20T00:00:00"/>
    <x v="36"/>
    <x v="0"/>
    <n v="2"/>
    <x v="12"/>
    <x v="2"/>
  </r>
  <r>
    <x v="2"/>
    <d v="2021-04-21T00:00:00"/>
    <x v="36"/>
    <x v="0"/>
    <n v="1"/>
    <x v="26"/>
    <x v="3"/>
  </r>
  <r>
    <x v="2"/>
    <d v="2021-04-22T00:00:00"/>
    <x v="36"/>
    <x v="0"/>
    <n v="2"/>
    <x v="13"/>
    <x v="0"/>
  </r>
  <r>
    <x v="2"/>
    <d v="2021-04-22T00:00:00"/>
    <x v="36"/>
    <x v="0"/>
    <n v="1"/>
    <x v="13"/>
    <x v="0"/>
  </r>
  <r>
    <x v="2"/>
    <d v="2021-04-23T00:00:00"/>
    <x v="36"/>
    <x v="0"/>
    <n v="2"/>
    <x v="14"/>
    <x v="4"/>
  </r>
  <r>
    <x v="2"/>
    <d v="2021-04-23T00:00:00"/>
    <x v="36"/>
    <x v="0"/>
    <n v="2"/>
    <x v="14"/>
    <x v="4"/>
  </r>
  <r>
    <x v="2"/>
    <d v="2021-04-24T00:00:00"/>
    <x v="36"/>
    <x v="0"/>
    <n v="1"/>
    <x v="29"/>
    <x v="5"/>
  </r>
  <r>
    <x v="2"/>
    <d v="2021-04-26T00:00:00"/>
    <x v="36"/>
    <x v="0"/>
    <n v="1"/>
    <x v="15"/>
    <x v="1"/>
  </r>
  <r>
    <x v="2"/>
    <d v="2021-04-27T00:00:00"/>
    <x v="36"/>
    <x v="0"/>
    <n v="2"/>
    <x v="16"/>
    <x v="2"/>
  </r>
  <r>
    <x v="2"/>
    <d v="2021-04-27T00:00:00"/>
    <x v="36"/>
    <x v="0"/>
    <n v="1"/>
    <x v="16"/>
    <x v="2"/>
  </r>
  <r>
    <x v="2"/>
    <d v="2021-04-28T00:00:00"/>
    <x v="36"/>
    <x v="0"/>
    <n v="2"/>
    <x v="17"/>
    <x v="3"/>
  </r>
  <r>
    <x v="2"/>
    <d v="2021-04-28T00:00:00"/>
    <x v="36"/>
    <x v="0"/>
    <n v="1"/>
    <x v="17"/>
    <x v="3"/>
  </r>
  <r>
    <x v="2"/>
    <d v="2021-04-28T00:00:00"/>
    <x v="36"/>
    <x v="0"/>
    <n v="1"/>
    <x v="17"/>
    <x v="3"/>
  </r>
  <r>
    <x v="2"/>
    <d v="2021-04-29T00:00:00"/>
    <x v="36"/>
    <x v="0"/>
    <n v="1"/>
    <x v="18"/>
    <x v="0"/>
  </r>
  <r>
    <x v="2"/>
    <d v="2021-04-30T00:00:00"/>
    <x v="36"/>
    <x v="0"/>
    <n v="1"/>
    <x v="19"/>
    <x v="4"/>
  </r>
  <r>
    <x v="2"/>
    <d v="2021-04-30T00:00:00"/>
    <x v="36"/>
    <x v="0"/>
    <n v="2"/>
    <x v="19"/>
    <x v="4"/>
  </r>
  <r>
    <x v="2"/>
    <d v="2021-04-05T00:00:00"/>
    <x v="37"/>
    <x v="0"/>
    <n v="2"/>
    <x v="1"/>
    <x v="1"/>
  </r>
  <r>
    <x v="2"/>
    <d v="2021-04-06T00:00:00"/>
    <x v="37"/>
    <x v="0"/>
    <n v="1"/>
    <x v="2"/>
    <x v="2"/>
  </r>
  <r>
    <x v="2"/>
    <d v="2021-04-07T00:00:00"/>
    <x v="37"/>
    <x v="0"/>
    <n v="2"/>
    <x v="3"/>
    <x v="3"/>
  </r>
  <r>
    <x v="2"/>
    <d v="2021-04-08T00:00:00"/>
    <x v="37"/>
    <x v="0"/>
    <n v="1"/>
    <x v="4"/>
    <x v="0"/>
  </r>
  <r>
    <x v="2"/>
    <d v="2021-04-08T00:00:00"/>
    <x v="37"/>
    <x v="0"/>
    <n v="2"/>
    <x v="4"/>
    <x v="0"/>
  </r>
  <r>
    <x v="2"/>
    <d v="2021-04-09T00:00:00"/>
    <x v="37"/>
    <x v="0"/>
    <n v="2"/>
    <x v="5"/>
    <x v="4"/>
  </r>
  <r>
    <x v="2"/>
    <d v="2021-04-09T00:00:00"/>
    <x v="37"/>
    <x v="0"/>
    <n v="1"/>
    <x v="5"/>
    <x v="4"/>
  </r>
  <r>
    <x v="2"/>
    <d v="2021-04-11T00:00:00"/>
    <x v="37"/>
    <x v="0"/>
    <n v="2"/>
    <x v="24"/>
    <x v="5"/>
  </r>
  <r>
    <x v="2"/>
    <d v="2021-04-12T00:00:00"/>
    <x v="37"/>
    <x v="0"/>
    <n v="2"/>
    <x v="6"/>
    <x v="1"/>
  </r>
  <r>
    <x v="2"/>
    <d v="2021-04-13T00:00:00"/>
    <x v="37"/>
    <x v="0"/>
    <n v="2"/>
    <x v="7"/>
    <x v="2"/>
  </r>
  <r>
    <x v="2"/>
    <d v="2021-04-14T00:00:00"/>
    <x v="37"/>
    <x v="0"/>
    <n v="2"/>
    <x v="8"/>
    <x v="3"/>
  </r>
  <r>
    <x v="2"/>
    <d v="2021-04-15T00:00:00"/>
    <x v="37"/>
    <x v="0"/>
    <n v="1"/>
    <x v="9"/>
    <x v="0"/>
  </r>
  <r>
    <x v="2"/>
    <d v="2021-04-15T00:00:00"/>
    <x v="37"/>
    <x v="0"/>
    <n v="2"/>
    <x v="9"/>
    <x v="0"/>
  </r>
  <r>
    <x v="2"/>
    <d v="2021-04-16T00:00:00"/>
    <x v="37"/>
    <x v="0"/>
    <n v="1"/>
    <x v="10"/>
    <x v="4"/>
  </r>
  <r>
    <x v="2"/>
    <d v="2021-04-19T00:00:00"/>
    <x v="37"/>
    <x v="0"/>
    <n v="2"/>
    <x v="11"/>
    <x v="1"/>
  </r>
  <r>
    <x v="2"/>
    <d v="2021-04-20T00:00:00"/>
    <x v="37"/>
    <x v="0"/>
    <n v="1"/>
    <x v="12"/>
    <x v="2"/>
  </r>
  <r>
    <x v="2"/>
    <d v="2021-04-21T00:00:00"/>
    <x v="37"/>
    <x v="0"/>
    <n v="1"/>
    <x v="26"/>
    <x v="3"/>
  </r>
  <r>
    <x v="2"/>
    <d v="2021-04-21T00:00:00"/>
    <x v="37"/>
    <x v="0"/>
    <n v="2"/>
    <x v="26"/>
    <x v="3"/>
  </r>
  <r>
    <x v="2"/>
    <d v="2021-04-22T00:00:00"/>
    <x v="37"/>
    <x v="0"/>
    <n v="2"/>
    <x v="13"/>
    <x v="0"/>
  </r>
  <r>
    <x v="2"/>
    <d v="2021-04-23T00:00:00"/>
    <x v="37"/>
    <x v="0"/>
    <n v="2"/>
    <x v="14"/>
    <x v="4"/>
  </r>
  <r>
    <x v="2"/>
    <d v="2021-04-26T00:00:00"/>
    <x v="37"/>
    <x v="0"/>
    <n v="2"/>
    <x v="15"/>
    <x v="1"/>
  </r>
  <r>
    <x v="2"/>
    <d v="2021-04-26T00:00:00"/>
    <x v="37"/>
    <x v="0"/>
    <n v="1"/>
    <x v="15"/>
    <x v="1"/>
  </r>
  <r>
    <x v="2"/>
    <d v="2021-04-27T00:00:00"/>
    <x v="37"/>
    <x v="0"/>
    <n v="2"/>
    <x v="16"/>
    <x v="2"/>
  </r>
  <r>
    <x v="2"/>
    <d v="2021-04-28T00:00:00"/>
    <x v="37"/>
    <x v="0"/>
    <n v="2"/>
    <x v="17"/>
    <x v="3"/>
  </r>
  <r>
    <x v="2"/>
    <d v="2021-04-28T00:00:00"/>
    <x v="37"/>
    <x v="0"/>
    <n v="2"/>
    <x v="17"/>
    <x v="3"/>
  </r>
  <r>
    <x v="2"/>
    <d v="2021-04-28T00:00:00"/>
    <x v="37"/>
    <x v="0"/>
    <n v="2"/>
    <x v="17"/>
    <x v="3"/>
  </r>
  <r>
    <x v="2"/>
    <d v="2021-04-29T00:00:00"/>
    <x v="37"/>
    <x v="0"/>
    <n v="2"/>
    <x v="18"/>
    <x v="0"/>
  </r>
  <r>
    <x v="2"/>
    <d v="2021-04-30T00:00:00"/>
    <x v="37"/>
    <x v="0"/>
    <n v="1"/>
    <x v="19"/>
    <x v="4"/>
  </r>
  <r>
    <x v="2"/>
    <d v="2021-04-30T00:00:00"/>
    <x v="37"/>
    <x v="0"/>
    <n v="2"/>
    <x v="19"/>
    <x v="4"/>
  </r>
  <r>
    <x v="2"/>
    <d v="2021-04-30T00:00:00"/>
    <x v="37"/>
    <x v="0"/>
    <n v="1"/>
    <x v="19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2E469D-CD48-4E67-AC17-A3B5A1C2B7AD}" name="Tabela dinâmica8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7" indent="0" compact="0" compactData="0" multipleFieldFilters="0" chartFormat="1">
  <location ref="S4:T6" firstHeaderRow="1" firstDataRow="1" firstDataCol="1"/>
  <pivotFields count="7">
    <pivotField compact="0" outline="0" showAll="0">
      <items count="4"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2">
    <i>
      <x/>
    </i>
    <i>
      <x v="1"/>
    </i>
  </rowItems>
  <colItems count="1">
    <i/>
  </colItems>
  <dataFields count="1">
    <dataField name="Contagem de Tratativa" fld="3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85441A-9DB3-43E5-9F66-2587DA8FA6B9}" name="Tabela dinâmica6" cacheId="0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7" indent="0" compact="0" compactData="0" multipleFieldFilters="0">
  <location ref="J7:J8" firstHeaderRow="1" firstDataRow="1" firstDataCol="0"/>
  <pivotFields count="7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Items count="1">
    <i/>
  </rowItems>
  <colItems count="1">
    <i/>
  </colItems>
  <dataFields count="1">
    <dataField name="Contagem de Tratativa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038AB-762A-43C3-AA47-F0D6D6513A93}" name="Tabela dinâmica5" cacheId="0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7" indent="0" compact="0" compactData="0" multipleFieldFilters="0">
  <location ref="J4:J5" firstHeaderRow="1" firstDataRow="1" firstDataCol="0"/>
  <pivotFields count="7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Items count="1">
    <i/>
  </rowItems>
  <colItems count="1">
    <i/>
  </colItems>
  <dataFields count="1">
    <dataField name="Soma de Hora Extra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0E275E-F0F8-423C-A252-51DA8C5133C8}" name="Tabela dinâmica2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7" indent="0" compact="0" compactData="0" multipleFieldFilters="0">
  <location ref="G4:H42" firstHeaderRow="1" firstDataRow="1" firstDataCol="1"/>
  <pivotFields count="7">
    <pivotField compact="0" outline="0" showAll="0">
      <items count="4">
        <item x="0"/>
        <item x="2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>
      <items count="39">
        <item x="25"/>
        <item x="13"/>
        <item x="26"/>
        <item x="9"/>
        <item x="23"/>
        <item x="15"/>
        <item x="35"/>
        <item x="34"/>
        <item x="37"/>
        <item x="16"/>
        <item x="1"/>
        <item x="24"/>
        <item x="28"/>
        <item x="11"/>
        <item x="31"/>
        <item x="5"/>
        <item x="7"/>
        <item x="29"/>
        <item x="20"/>
        <item x="17"/>
        <item x="12"/>
        <item x="36"/>
        <item x="0"/>
        <item x="21"/>
        <item x="22"/>
        <item x="19"/>
        <item x="33"/>
        <item x="3"/>
        <item x="6"/>
        <item x="32"/>
        <item x="30"/>
        <item x="14"/>
        <item x="10"/>
        <item x="4"/>
        <item x="2"/>
        <item x="18"/>
        <item x="27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8">
    <i>
      <x v="3"/>
    </i>
    <i>
      <x v="34"/>
    </i>
    <i>
      <x v="13"/>
    </i>
    <i>
      <x v="28"/>
    </i>
    <i>
      <x v="33"/>
    </i>
    <i>
      <x v="24"/>
    </i>
    <i>
      <x v="5"/>
    </i>
    <i>
      <x v="26"/>
    </i>
    <i>
      <x v="23"/>
    </i>
    <i>
      <x v="21"/>
    </i>
    <i>
      <x v="9"/>
    </i>
    <i>
      <x v="15"/>
    </i>
    <i>
      <x v="4"/>
    </i>
    <i>
      <x v="17"/>
    </i>
    <i>
      <x v="16"/>
    </i>
    <i>
      <x v="29"/>
    </i>
    <i>
      <x v="8"/>
    </i>
    <i>
      <x v="22"/>
    </i>
    <i>
      <x v="7"/>
    </i>
    <i>
      <x/>
    </i>
    <i>
      <x v="36"/>
    </i>
    <i>
      <x v="6"/>
    </i>
    <i>
      <x v="2"/>
    </i>
    <i>
      <x v="11"/>
    </i>
    <i>
      <x v="25"/>
    </i>
    <i>
      <x v="19"/>
    </i>
    <i>
      <x v="20"/>
    </i>
    <i>
      <x v="14"/>
    </i>
    <i>
      <x v="27"/>
    </i>
    <i>
      <x v="30"/>
    </i>
    <i>
      <x v="31"/>
    </i>
    <i>
      <x v="18"/>
    </i>
    <i>
      <x v="35"/>
    </i>
    <i>
      <x v="1"/>
    </i>
    <i>
      <x v="10"/>
    </i>
    <i>
      <x v="37"/>
    </i>
    <i>
      <x v="32"/>
    </i>
    <i>
      <x v="12"/>
    </i>
  </rowItems>
  <colItems count="1">
    <i/>
  </colItems>
  <dataFields count="1">
    <dataField name="Soma de Hora Extra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9E701C-5099-424A-BF22-3891B959D333}" name="Tabela dinâmica7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7" indent="0" compact="0" compactData="0" multipleFieldFilters="0">
  <location ref="A4:E823" firstHeaderRow="1" firstDataRow="1" firstDataCol="4" rowPageCount="1" colPageCount="1"/>
  <pivotFields count="7">
    <pivotField axis="axisPage" compact="0" outline="0" showAll="0" defaultSubtotal="0">
      <items count="3">
        <item x="0"/>
        <item x="2"/>
        <item x="1"/>
      </items>
    </pivotField>
    <pivotField compact="0" numFmtId="14" outline="0" showAll="0" defaultSubtotal="0"/>
    <pivotField axis="axisRow" compact="0" outline="0" showAll="0" defaultSubtotal="0">
      <items count="38">
        <item x="25"/>
        <item x="13"/>
        <item x="26"/>
        <item x="9"/>
        <item x="23"/>
        <item x="15"/>
        <item x="35"/>
        <item x="34"/>
        <item x="37"/>
        <item x="16"/>
        <item x="1"/>
        <item x="24"/>
        <item x="28"/>
        <item x="11"/>
        <item x="31"/>
        <item x="5"/>
        <item x="7"/>
        <item x="29"/>
        <item x="20"/>
        <item x="17"/>
        <item x="12"/>
        <item x="36"/>
        <item x="0"/>
        <item x="21"/>
        <item x="22"/>
        <item x="19"/>
        <item x="33"/>
        <item x="3"/>
        <item x="6"/>
        <item x="32"/>
        <item x="30"/>
        <item x="14"/>
        <item x="10"/>
        <item x="4"/>
        <item x="2"/>
        <item x="18"/>
        <item x="27"/>
        <item x="8"/>
      </items>
    </pivotField>
    <pivotField axis="axisRow" compact="0" outline="0" showAll="0" defaultSubtotal="0">
      <items count="2">
        <item x="0"/>
        <item x="1"/>
      </items>
    </pivotField>
    <pivotField dataField="1" compact="0" numFmtId="2" outline="0" showAll="0" defaultSubtotal="0"/>
    <pivotField axis="axisRow" compact="0" outline="0" showAll="0" defaultSubtotal="0">
      <items count="30">
        <item x="0"/>
        <item x="27"/>
        <item x="21"/>
        <item x="22"/>
        <item x="1"/>
        <item x="2"/>
        <item x="3"/>
        <item x="4"/>
        <item x="5"/>
        <item x="23"/>
        <item x="24"/>
        <item x="6"/>
        <item x="7"/>
        <item x="8"/>
        <item x="9"/>
        <item x="10"/>
        <item x="20"/>
        <item x="25"/>
        <item x="11"/>
        <item x="12"/>
        <item x="26"/>
        <item x="13"/>
        <item x="14"/>
        <item x="29"/>
        <item x="28"/>
        <item x="15"/>
        <item x="16"/>
        <item x="17"/>
        <item x="18"/>
        <item x="19"/>
      </items>
    </pivotField>
    <pivotField axis="axisRow" compact="0" outline="0" showAll="0" defaultSubtotal="0">
      <items count="7">
        <item x="1"/>
        <item x="2"/>
        <item x="3"/>
        <item x="0"/>
        <item x="4"/>
        <item m="1" x="6"/>
        <item x="5"/>
      </items>
    </pivotField>
  </pivotFields>
  <rowFields count="4">
    <field x="2"/>
    <field x="5"/>
    <field x="6"/>
    <field x="3"/>
  </rowFields>
  <rowItems count="819">
    <i>
      <x/>
      <x/>
      <x v="3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1"/>
      <x v="3"/>
      <x/>
    </i>
    <i r="1">
      <x v="22"/>
      <x v="4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1"/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2"/>
      <x/>
      <x v="3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9"/>
      <x v="6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1"/>
      <x v="3"/>
      <x/>
    </i>
    <i r="1">
      <x v="22"/>
      <x v="4"/>
      <x/>
    </i>
    <i r="1">
      <x v="24"/>
      <x v="6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3"/>
      <x/>
      <x v="3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4"/>
      <x/>
      <x v="3"/>
      <x/>
    </i>
    <i r="1">
      <x v="1"/>
      <x v="4"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9"/>
      <x v="6"/>
      <x/>
    </i>
    <i r="1">
      <x v="10"/>
      <x v="6"/>
      <x/>
    </i>
    <i r="1">
      <x v="14"/>
      <x v="3"/>
      <x/>
    </i>
    <i r="1">
      <x v="15"/>
      <x v="4"/>
      <x/>
    </i>
    <i r="1">
      <x v="16"/>
      <x v="6"/>
      <x/>
    </i>
    <i r="1">
      <x v="17"/>
      <x v="6"/>
      <x/>
    </i>
    <i r="1">
      <x v="18"/>
      <x/>
      <x/>
    </i>
    <i r="1">
      <x v="19"/>
      <x v="1"/>
      <x/>
    </i>
    <i r="1">
      <x v="23"/>
      <x v="6"/>
      <x/>
    </i>
    <i r="1">
      <x v="24"/>
      <x v="6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5"/>
      <x/>
      <x v="3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9"/>
      <x v="6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6"/>
      <x/>
      <x v="3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1"/>
      <x v="3"/>
      <x/>
    </i>
    <i r="1">
      <x v="22"/>
      <x v="4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7"/>
      <x/>
      <x v="3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9"/>
      <x v="6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0"/>
      <x v="2"/>
      <x/>
    </i>
    <i r="1">
      <x v="21"/>
      <x v="3"/>
      <x/>
    </i>
    <i r="1">
      <x v="22"/>
      <x v="4"/>
      <x/>
    </i>
    <i r="1">
      <x v="24"/>
      <x v="6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8"/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10"/>
      <x v="6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0"/>
      <x v="2"/>
      <x/>
    </i>
    <i r="1">
      <x v="21"/>
      <x v="3"/>
      <x/>
    </i>
    <i r="1">
      <x v="22"/>
      <x v="4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9"/>
      <x/>
      <x v="3"/>
      <x v="1"/>
    </i>
    <i r="1">
      <x v="1"/>
      <x v="4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0"/>
      <x v="2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10"/>
      <x/>
      <x v="3"/>
      <x/>
    </i>
    <i r="1">
      <x v="4"/>
      <x/>
      <x v="1"/>
    </i>
    <i r="1">
      <x v="5"/>
      <x v="1"/>
      <x/>
    </i>
    <i r="1">
      <x v="6"/>
      <x v="2"/>
      <x v="1"/>
    </i>
    <i r="1">
      <x v="7"/>
      <x v="3"/>
      <x/>
    </i>
    <i r="1">
      <x v="8"/>
      <x v="4"/>
      <x v="1"/>
    </i>
    <i r="1">
      <x v="11"/>
      <x/>
      <x/>
    </i>
    <i r="1">
      <x v="12"/>
      <x v="1"/>
      <x v="1"/>
    </i>
    <i r="1">
      <x v="13"/>
      <x v="2"/>
      <x/>
    </i>
    <i r="1">
      <x v="14"/>
      <x v="3"/>
      <x v="1"/>
    </i>
    <i r="1">
      <x v="15"/>
      <x v="4"/>
      <x/>
    </i>
    <i r="1">
      <x v="18"/>
      <x/>
      <x v="1"/>
    </i>
    <i r="1">
      <x v="19"/>
      <x v="1"/>
      <x/>
    </i>
    <i r="1">
      <x v="21"/>
      <x v="3"/>
      <x v="1"/>
    </i>
    <i r="1">
      <x v="22"/>
      <x v="4"/>
      <x/>
    </i>
    <i r="1">
      <x v="25"/>
      <x/>
      <x v="1"/>
    </i>
    <i r="1">
      <x v="26"/>
      <x v="1"/>
      <x/>
    </i>
    <i r="1">
      <x v="27"/>
      <x v="2"/>
      <x v="1"/>
    </i>
    <i r="1">
      <x v="28"/>
      <x v="3"/>
      <x/>
    </i>
    <i r="1">
      <x v="29"/>
      <x v="4"/>
      <x v="1"/>
    </i>
    <i>
      <x v="11"/>
      <x/>
      <x v="3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1"/>
      <x v="3"/>
      <x/>
    </i>
    <i r="1">
      <x v="22"/>
      <x v="4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12"/>
      <x/>
      <x v="3"/>
      <x/>
    </i>
    <i>
      <x v="13"/>
      <x/>
      <x v="3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14"/>
      <x/>
      <x v="3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1"/>
      <x v="3"/>
      <x/>
    </i>
    <i r="1">
      <x v="22"/>
      <x v="4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15"/>
      <x/>
      <x v="3"/>
      <x v="1"/>
    </i>
    <i r="1">
      <x v="4"/>
      <x/>
      <x/>
    </i>
    <i r="1">
      <x v="5"/>
      <x v="1"/>
      <x v="1"/>
    </i>
    <i r="1">
      <x v="6"/>
      <x v="2"/>
      <x/>
    </i>
    <i r="1">
      <x v="7"/>
      <x v="3"/>
      <x v="1"/>
    </i>
    <i r="1">
      <x v="8"/>
      <x v="4"/>
      <x/>
    </i>
    <i r="3">
      <x v="1"/>
    </i>
    <i r="1">
      <x v="11"/>
      <x/>
      <x/>
    </i>
    <i r="3">
      <x v="1"/>
    </i>
    <i r="1">
      <x v="12"/>
      <x v="1"/>
      <x/>
    </i>
    <i r="3">
      <x v="1"/>
    </i>
    <i r="1">
      <x v="13"/>
      <x v="2"/>
      <x/>
    </i>
    <i r="3">
      <x v="1"/>
    </i>
    <i r="1">
      <x v="14"/>
      <x v="3"/>
      <x/>
    </i>
    <i r="3">
      <x v="1"/>
    </i>
    <i r="1">
      <x v="15"/>
      <x v="4"/>
      <x/>
    </i>
    <i r="3">
      <x v="1"/>
    </i>
    <i r="1">
      <x v="16"/>
      <x v="6"/>
      <x v="1"/>
    </i>
    <i r="1">
      <x v="18"/>
      <x/>
      <x/>
    </i>
    <i r="1">
      <x v="19"/>
      <x v="1"/>
      <x/>
    </i>
    <i r="3">
      <x v="1"/>
    </i>
    <i r="1">
      <x v="21"/>
      <x v="3"/>
      <x/>
    </i>
    <i r="3">
      <x v="1"/>
    </i>
    <i r="1">
      <x v="22"/>
      <x v="4"/>
      <x/>
    </i>
    <i r="3">
      <x v="1"/>
    </i>
    <i r="1">
      <x v="25"/>
      <x/>
      <x/>
    </i>
    <i r="3">
      <x v="1"/>
    </i>
    <i r="1">
      <x v="26"/>
      <x v="1"/>
      <x/>
    </i>
    <i r="3">
      <x v="1"/>
    </i>
    <i r="1">
      <x v="27"/>
      <x v="2"/>
      <x/>
    </i>
    <i r="3">
      <x v="1"/>
    </i>
    <i r="1">
      <x v="28"/>
      <x v="3"/>
      <x/>
    </i>
    <i r="3">
      <x v="1"/>
    </i>
    <i r="1">
      <x v="29"/>
      <x v="4"/>
      <x/>
    </i>
    <i r="3">
      <x v="1"/>
    </i>
    <i>
      <x v="16"/>
      <x/>
      <x v="3"/>
      <x/>
    </i>
    <i r="3">
      <x v="1"/>
    </i>
    <i r="1">
      <x v="2"/>
      <x v="6"/>
      <x/>
    </i>
    <i r="3">
      <x v="1"/>
    </i>
    <i r="1">
      <x v="3"/>
      <x v="6"/>
      <x/>
    </i>
    <i r="1">
      <x v="4"/>
      <x/>
      <x v="1"/>
    </i>
    <i r="1">
      <x v="8"/>
      <x v="4"/>
      <x/>
    </i>
    <i r="1">
      <x v="9"/>
      <x v="6"/>
      <x v="1"/>
    </i>
    <i r="1">
      <x v="10"/>
      <x v="6"/>
      <x/>
    </i>
    <i r="1">
      <x v="11"/>
      <x/>
      <x v="1"/>
    </i>
    <i r="1">
      <x v="12"/>
      <x v="1"/>
      <x/>
    </i>
    <i r="1">
      <x v="13"/>
      <x v="2"/>
      <x/>
    </i>
    <i r="3">
      <x v="1"/>
    </i>
    <i r="1">
      <x v="17"/>
      <x v="6"/>
      <x/>
    </i>
    <i r="3">
      <x v="1"/>
    </i>
    <i r="1">
      <x v="18"/>
      <x/>
      <x/>
    </i>
    <i r="1">
      <x v="19"/>
      <x v="1"/>
      <x/>
    </i>
    <i r="3">
      <x v="1"/>
    </i>
    <i r="1">
      <x v="20"/>
      <x v="2"/>
      <x/>
    </i>
    <i r="3">
      <x v="1"/>
    </i>
    <i r="1">
      <x v="21"/>
      <x v="3"/>
      <x/>
    </i>
    <i r="3">
      <x v="1"/>
    </i>
    <i r="1">
      <x v="22"/>
      <x v="4"/>
      <x v="1"/>
    </i>
    <i r="1">
      <x v="26"/>
      <x v="1"/>
      <x/>
    </i>
    <i r="3">
      <x v="1"/>
    </i>
    <i r="1">
      <x v="27"/>
      <x v="2"/>
      <x v="1"/>
    </i>
    <i r="1">
      <x v="28"/>
      <x v="3"/>
      <x/>
    </i>
    <i r="3">
      <x v="1"/>
    </i>
    <i r="1">
      <x v="29"/>
      <x v="4"/>
      <x v="1"/>
    </i>
    <i>
      <x v="17"/>
      <x/>
      <x v="3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9"/>
      <x v="6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0"/>
      <x v="2"/>
      <x/>
    </i>
    <i r="1">
      <x v="21"/>
      <x v="3"/>
      <x/>
    </i>
    <i r="1">
      <x v="22"/>
      <x v="4"/>
      <x/>
    </i>
    <i r="1">
      <x v="23"/>
      <x v="6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18"/>
      <x/>
      <x v="3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19"/>
      <x/>
      <x v="3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20"/>
      <x/>
      <x v="3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21"/>
      <x/>
      <x v="3"/>
      <x/>
    </i>
    <i r="1">
      <x v="3"/>
      <x v="6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0"/>
      <x v="2"/>
      <x/>
    </i>
    <i r="1">
      <x v="21"/>
      <x v="3"/>
      <x/>
    </i>
    <i r="1">
      <x v="22"/>
      <x v="4"/>
      <x/>
    </i>
    <i r="1">
      <x v="23"/>
      <x v="6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22"/>
      <x/>
      <x v="3"/>
      <x/>
    </i>
    <i r="1">
      <x v="4"/>
      <x/>
      <x/>
    </i>
    <i r="3">
      <x v="1"/>
    </i>
    <i r="1">
      <x v="5"/>
      <x v="1"/>
      <x/>
    </i>
    <i r="1">
      <x v="6"/>
      <x v="2"/>
      <x v="1"/>
    </i>
    <i r="1">
      <x v="7"/>
      <x v="3"/>
      <x/>
    </i>
    <i r="1">
      <x v="8"/>
      <x v="4"/>
      <x/>
    </i>
    <i r="3">
      <x v="1"/>
    </i>
    <i r="1">
      <x v="11"/>
      <x/>
      <x v="1"/>
    </i>
    <i r="1">
      <x v="12"/>
      <x v="1"/>
      <x/>
    </i>
    <i r="3">
      <x v="1"/>
    </i>
    <i r="1">
      <x v="13"/>
      <x v="2"/>
      <x/>
    </i>
    <i r="3">
      <x v="1"/>
    </i>
    <i r="1">
      <x v="14"/>
      <x v="3"/>
      <x v="1"/>
    </i>
    <i r="1">
      <x v="15"/>
      <x v="4"/>
      <x/>
    </i>
    <i r="1">
      <x v="18"/>
      <x/>
      <x v="1"/>
    </i>
    <i r="1">
      <x v="19"/>
      <x v="1"/>
      <x/>
    </i>
    <i r="1">
      <x v="21"/>
      <x v="3"/>
      <x v="1"/>
    </i>
    <i r="1">
      <x v="22"/>
      <x v="4"/>
      <x/>
    </i>
    <i r="1">
      <x v="25"/>
      <x/>
      <x/>
    </i>
    <i r="3">
      <x v="1"/>
    </i>
    <i r="1">
      <x v="26"/>
      <x v="1"/>
      <x/>
    </i>
    <i r="1">
      <x v="27"/>
      <x v="2"/>
      <x v="1"/>
    </i>
    <i r="1">
      <x v="28"/>
      <x v="3"/>
      <x/>
    </i>
    <i r="1">
      <x v="29"/>
      <x v="4"/>
      <x/>
    </i>
    <i r="3">
      <x v="1"/>
    </i>
    <i>
      <x v="23"/>
      <x/>
      <x v="3"/>
      <x v="1"/>
    </i>
    <i r="1">
      <x v="2"/>
      <x v="6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10"/>
      <x v="6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24"/>
      <x/>
      <x v="3"/>
      <x v="1"/>
    </i>
    <i r="1">
      <x v="1"/>
      <x v="4"/>
      <x v="1"/>
    </i>
    <i r="1">
      <x v="2"/>
      <x v="6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9"/>
      <x v="6"/>
      <x v="1"/>
    </i>
    <i r="1">
      <x v="10"/>
      <x v="6"/>
      <x v="1"/>
    </i>
    <i r="1">
      <x v="11"/>
      <x/>
      <x v="1"/>
    </i>
    <i r="1">
      <x v="12"/>
      <x v="1"/>
      <x v="1"/>
    </i>
    <i r="1">
      <x v="14"/>
      <x v="3"/>
      <x/>
    </i>
    <i r="1">
      <x v="15"/>
      <x v="4"/>
      <x/>
    </i>
    <i r="1">
      <x v="16"/>
      <x v="6"/>
      <x/>
    </i>
    <i r="1">
      <x v="17"/>
      <x v="6"/>
      <x/>
    </i>
    <i r="1">
      <x v="19"/>
      <x v="1"/>
      <x/>
    </i>
    <i r="1">
      <x v="20"/>
      <x v="2"/>
      <x/>
    </i>
    <i r="1">
      <x v="21"/>
      <x v="3"/>
      <x/>
    </i>
    <i r="1">
      <x v="22"/>
      <x v="4"/>
      <x/>
    </i>
    <i r="1">
      <x v="24"/>
      <x v="6"/>
      <x/>
    </i>
    <i r="1">
      <x v="25"/>
      <x/>
      <x/>
    </i>
    <i r="1">
      <x v="26"/>
      <x v="1"/>
      <x/>
    </i>
    <i r="1">
      <x v="27"/>
      <x v="2"/>
      <x/>
    </i>
    <i r="1">
      <x v="29"/>
      <x v="4"/>
      <x/>
    </i>
    <i>
      <x v="25"/>
      <x/>
      <x v="3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26"/>
      <x/>
      <x v="3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9"/>
      <x v="6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1"/>
      <x v="3"/>
      <x/>
    </i>
    <i r="1">
      <x v="22"/>
      <x v="4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27"/>
      <x/>
      <x v="3"/>
      <x v="1"/>
    </i>
    <i r="1">
      <x v="4"/>
      <x/>
      <x/>
    </i>
    <i r="1">
      <x v="5"/>
      <x v="1"/>
      <x v="1"/>
    </i>
    <i r="1">
      <x v="6"/>
      <x v="2"/>
      <x/>
    </i>
    <i r="1">
      <x v="7"/>
      <x v="3"/>
      <x v="1"/>
    </i>
    <i r="1">
      <x v="8"/>
      <x v="4"/>
      <x/>
    </i>
    <i r="1">
      <x v="11"/>
      <x/>
      <x v="1"/>
    </i>
    <i r="1">
      <x v="12"/>
      <x v="1"/>
      <x/>
    </i>
    <i r="1">
      <x v="13"/>
      <x v="2"/>
      <x v="1"/>
    </i>
    <i r="1">
      <x v="14"/>
      <x v="3"/>
      <x/>
    </i>
    <i r="1">
      <x v="15"/>
      <x v="4"/>
      <x v="1"/>
    </i>
    <i r="1">
      <x v="18"/>
      <x/>
      <x/>
    </i>
    <i r="1">
      <x v="21"/>
      <x v="3"/>
      <x v="1"/>
    </i>
    <i r="1">
      <x v="22"/>
      <x v="4"/>
      <x/>
    </i>
    <i r="1">
      <x v="25"/>
      <x/>
      <x v="1"/>
    </i>
    <i r="1">
      <x v="26"/>
      <x v="1"/>
      <x/>
    </i>
    <i r="1">
      <x v="27"/>
      <x v="2"/>
      <x v="1"/>
    </i>
    <i r="1">
      <x v="28"/>
      <x v="3"/>
      <x/>
    </i>
    <i r="1">
      <x v="29"/>
      <x v="4"/>
      <x v="1"/>
    </i>
    <i>
      <x v="28"/>
      <x/>
      <x v="3"/>
      <x/>
    </i>
    <i r="3">
      <x v="1"/>
    </i>
    <i r="1">
      <x v="4"/>
      <x/>
      <x v="1"/>
    </i>
    <i r="1">
      <x v="5"/>
      <x v="1"/>
      <x/>
    </i>
    <i r="1">
      <x v="6"/>
      <x v="2"/>
      <x v="1"/>
    </i>
    <i r="1">
      <x v="7"/>
      <x v="3"/>
      <x/>
    </i>
    <i r="1">
      <x v="8"/>
      <x v="4"/>
      <x/>
    </i>
    <i r="3">
      <x v="1"/>
    </i>
    <i r="1">
      <x v="11"/>
      <x/>
      <x/>
    </i>
    <i r="3">
      <x v="1"/>
    </i>
    <i r="1">
      <x v="12"/>
      <x v="1"/>
      <x/>
    </i>
    <i r="3">
      <x v="1"/>
    </i>
    <i r="1">
      <x v="13"/>
      <x v="2"/>
      <x/>
    </i>
    <i r="3">
      <x v="1"/>
    </i>
    <i r="1">
      <x v="14"/>
      <x v="3"/>
      <x/>
    </i>
    <i r="3">
      <x v="1"/>
    </i>
    <i r="1">
      <x v="15"/>
      <x v="4"/>
      <x/>
    </i>
    <i r="3">
      <x v="1"/>
    </i>
    <i r="1">
      <x v="18"/>
      <x/>
      <x/>
    </i>
    <i r="3">
      <x v="1"/>
    </i>
    <i r="1">
      <x v="19"/>
      <x v="1"/>
      <x/>
    </i>
    <i r="3">
      <x v="1"/>
    </i>
    <i r="1">
      <x v="21"/>
      <x v="3"/>
      <x/>
    </i>
    <i r="3">
      <x v="1"/>
    </i>
    <i r="1">
      <x v="22"/>
      <x v="4"/>
      <x/>
    </i>
    <i r="3">
      <x v="1"/>
    </i>
    <i r="1">
      <x v="25"/>
      <x/>
      <x/>
    </i>
    <i r="3">
      <x v="1"/>
    </i>
    <i r="1">
      <x v="26"/>
      <x v="1"/>
      <x/>
    </i>
    <i r="3">
      <x v="1"/>
    </i>
    <i r="1">
      <x v="27"/>
      <x v="2"/>
      <x/>
    </i>
    <i r="3">
      <x v="1"/>
    </i>
    <i r="1">
      <x v="28"/>
      <x v="3"/>
      <x/>
    </i>
    <i r="3">
      <x v="1"/>
    </i>
    <i r="1">
      <x v="29"/>
      <x v="4"/>
      <x/>
    </i>
    <i r="3">
      <x v="1"/>
    </i>
    <i>
      <x v="29"/>
      <x/>
      <x v="3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6"/>
      <x v="6"/>
      <x/>
    </i>
    <i r="1">
      <x v="18"/>
      <x/>
      <x/>
    </i>
    <i r="1">
      <x v="19"/>
      <x v="1"/>
      <x/>
    </i>
    <i r="1">
      <x v="21"/>
      <x v="3"/>
      <x/>
    </i>
    <i r="1">
      <x v="22"/>
      <x v="4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30"/>
      <x/>
      <x v="3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1"/>
      <x v="3"/>
      <x/>
    </i>
    <i r="1">
      <x v="22"/>
      <x v="4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31"/>
      <x/>
      <x v="3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32"/>
      <x/>
      <x v="3"/>
      <x v="1"/>
    </i>
    <i>
      <x v="33"/>
      <x/>
      <x v="3"/>
      <x/>
    </i>
    <i r="1">
      <x v="4"/>
      <x/>
      <x/>
    </i>
    <i r="3">
      <x v="1"/>
    </i>
    <i r="1">
      <x v="5"/>
      <x v="1"/>
      <x/>
    </i>
    <i r="3">
      <x v="1"/>
    </i>
    <i r="1">
      <x v="6"/>
      <x v="2"/>
      <x/>
    </i>
    <i r="3">
      <x v="1"/>
    </i>
    <i r="1">
      <x v="7"/>
      <x v="3"/>
      <x/>
    </i>
    <i r="3">
      <x v="1"/>
    </i>
    <i r="1">
      <x v="8"/>
      <x v="4"/>
      <x/>
    </i>
    <i r="3">
      <x v="1"/>
    </i>
    <i r="1">
      <x v="11"/>
      <x/>
      <x/>
    </i>
    <i r="3">
      <x v="1"/>
    </i>
    <i r="1">
      <x v="12"/>
      <x v="1"/>
      <x/>
    </i>
    <i r="3">
      <x v="1"/>
    </i>
    <i r="1">
      <x v="13"/>
      <x v="2"/>
      <x/>
    </i>
    <i r="3">
      <x v="1"/>
    </i>
    <i r="1">
      <x v="14"/>
      <x v="3"/>
      <x/>
    </i>
    <i r="3">
      <x v="1"/>
    </i>
    <i r="1">
      <x v="15"/>
      <x v="4"/>
      <x/>
    </i>
    <i r="3">
      <x v="1"/>
    </i>
    <i r="1">
      <x v="18"/>
      <x/>
      <x/>
    </i>
    <i r="3">
      <x v="1"/>
    </i>
    <i r="1">
      <x v="19"/>
      <x v="1"/>
      <x/>
    </i>
    <i r="3">
      <x v="1"/>
    </i>
    <i r="1">
      <x v="21"/>
      <x v="3"/>
      <x/>
    </i>
    <i r="1">
      <x v="22"/>
      <x v="4"/>
      <x v="1"/>
    </i>
    <i r="1">
      <x v="25"/>
      <x/>
      <x/>
    </i>
    <i r="3">
      <x v="1"/>
    </i>
    <i r="1">
      <x v="26"/>
      <x v="1"/>
      <x/>
    </i>
    <i r="3">
      <x v="1"/>
    </i>
    <i r="1">
      <x v="27"/>
      <x v="2"/>
      <x v="1"/>
    </i>
    <i r="1">
      <x v="28"/>
      <x v="3"/>
      <x/>
    </i>
    <i r="3">
      <x v="1"/>
    </i>
    <i r="1">
      <x v="29"/>
      <x v="4"/>
      <x/>
    </i>
    <i r="3">
      <x v="1"/>
    </i>
    <i>
      <x v="34"/>
      <x/>
      <x v="3"/>
      <x/>
    </i>
    <i r="1">
      <x v="4"/>
      <x/>
      <x/>
    </i>
    <i r="3">
      <x v="1"/>
    </i>
    <i r="1">
      <x v="5"/>
      <x v="1"/>
      <x/>
    </i>
    <i r="3">
      <x v="1"/>
    </i>
    <i r="1">
      <x v="6"/>
      <x v="2"/>
      <x/>
    </i>
    <i r="3">
      <x v="1"/>
    </i>
    <i r="1">
      <x v="7"/>
      <x v="3"/>
      <x/>
    </i>
    <i r="3">
      <x v="1"/>
    </i>
    <i r="1">
      <x v="8"/>
      <x v="4"/>
      <x/>
    </i>
    <i r="3">
      <x v="1"/>
    </i>
    <i r="1">
      <x v="11"/>
      <x/>
      <x/>
    </i>
    <i r="3">
      <x v="1"/>
    </i>
    <i r="1">
      <x v="12"/>
      <x v="1"/>
      <x/>
    </i>
    <i r="3">
      <x v="1"/>
    </i>
    <i r="1">
      <x v="13"/>
      <x v="2"/>
      <x/>
    </i>
    <i r="3">
      <x v="1"/>
    </i>
    <i r="1">
      <x v="14"/>
      <x v="3"/>
      <x/>
    </i>
    <i r="3">
      <x v="1"/>
    </i>
    <i r="1">
      <x v="15"/>
      <x v="4"/>
      <x/>
    </i>
    <i r="1">
      <x v="18"/>
      <x/>
      <x/>
    </i>
    <i r="3">
      <x v="1"/>
    </i>
    <i r="1">
      <x v="19"/>
      <x v="1"/>
      <x/>
    </i>
    <i r="3">
      <x v="1"/>
    </i>
    <i r="1">
      <x v="21"/>
      <x v="3"/>
      <x/>
    </i>
    <i r="3">
      <x v="1"/>
    </i>
    <i r="1">
      <x v="22"/>
      <x v="4"/>
      <x/>
    </i>
    <i r="3">
      <x v="1"/>
    </i>
    <i r="1">
      <x v="25"/>
      <x/>
      <x/>
    </i>
    <i r="3">
      <x v="1"/>
    </i>
    <i r="1">
      <x v="26"/>
      <x v="1"/>
      <x/>
    </i>
    <i r="3">
      <x v="1"/>
    </i>
    <i r="1">
      <x v="27"/>
      <x v="2"/>
      <x/>
    </i>
    <i r="3">
      <x v="1"/>
    </i>
    <i r="1">
      <x v="28"/>
      <x v="3"/>
      <x/>
    </i>
    <i r="3">
      <x v="1"/>
    </i>
    <i r="1">
      <x v="29"/>
      <x v="4"/>
      <x/>
    </i>
    <i r="3">
      <x v="1"/>
    </i>
    <i>
      <x v="35"/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11"/>
      <x/>
      <x v="1"/>
    </i>
    <i r="1">
      <x v="12"/>
      <x v="1"/>
      <x v="1"/>
    </i>
    <i r="1">
      <x v="13"/>
      <x v="2"/>
      <x v="1"/>
    </i>
    <i r="1">
      <x v="14"/>
      <x v="3"/>
      <x v="1"/>
    </i>
    <i r="1">
      <x v="15"/>
      <x v="4"/>
      <x v="1"/>
    </i>
    <i r="1">
      <x v="18"/>
      <x/>
      <x v="1"/>
    </i>
    <i r="1">
      <x v="19"/>
      <x v="1"/>
      <x v="1"/>
    </i>
    <i r="1">
      <x v="21"/>
      <x v="3"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  <i>
      <x v="36"/>
      <x/>
      <x v="3"/>
      <x/>
    </i>
    <i r="1">
      <x v="4"/>
      <x/>
      <x/>
    </i>
    <i r="1">
      <x v="5"/>
      <x v="1"/>
      <x/>
    </i>
    <i r="1">
      <x v="6"/>
      <x v="2"/>
      <x/>
    </i>
    <i r="1">
      <x v="7"/>
      <x v="3"/>
      <x/>
    </i>
    <i r="1">
      <x v="8"/>
      <x v="4"/>
      <x/>
    </i>
    <i r="1">
      <x v="10"/>
      <x v="6"/>
      <x/>
    </i>
    <i r="1">
      <x v="11"/>
      <x/>
      <x/>
    </i>
    <i r="1">
      <x v="12"/>
      <x v="1"/>
      <x/>
    </i>
    <i r="1">
      <x v="13"/>
      <x v="2"/>
      <x/>
    </i>
    <i r="1">
      <x v="14"/>
      <x v="3"/>
      <x/>
    </i>
    <i r="1">
      <x v="15"/>
      <x v="4"/>
      <x/>
    </i>
    <i r="1">
      <x v="18"/>
      <x/>
      <x/>
    </i>
    <i r="1">
      <x v="19"/>
      <x v="1"/>
      <x/>
    </i>
    <i r="1">
      <x v="21"/>
      <x v="3"/>
      <x/>
    </i>
    <i r="1">
      <x v="22"/>
      <x v="4"/>
      <x/>
    </i>
    <i r="1">
      <x v="23"/>
      <x v="6"/>
      <x/>
    </i>
    <i r="1">
      <x v="25"/>
      <x/>
      <x/>
    </i>
    <i r="1">
      <x v="26"/>
      <x v="1"/>
      <x/>
    </i>
    <i r="1">
      <x v="27"/>
      <x v="2"/>
      <x/>
    </i>
    <i r="1">
      <x v="28"/>
      <x v="3"/>
      <x/>
    </i>
    <i r="1">
      <x v="29"/>
      <x v="4"/>
      <x/>
    </i>
    <i>
      <x v="37"/>
      <x/>
      <x v="3"/>
      <x v="1"/>
    </i>
    <i r="1">
      <x v="4"/>
      <x/>
      <x v="1"/>
    </i>
    <i r="1">
      <x v="5"/>
      <x v="1"/>
      <x v="1"/>
    </i>
    <i r="1">
      <x v="6"/>
      <x v="2"/>
      <x v="1"/>
    </i>
    <i r="1">
      <x v="7"/>
      <x v="3"/>
      <x v="1"/>
    </i>
    <i r="1">
      <x v="8"/>
      <x v="4"/>
      <x v="1"/>
    </i>
    <i r="1">
      <x v="11"/>
      <x/>
      <x v="1"/>
    </i>
    <i r="1">
      <x v="12"/>
      <x v="1"/>
      <x v="1"/>
    </i>
    <i r="1">
      <x v="18"/>
      <x/>
      <x v="1"/>
    </i>
    <i r="1">
      <x v="22"/>
      <x v="4"/>
      <x v="1"/>
    </i>
    <i r="1">
      <x v="25"/>
      <x/>
      <x v="1"/>
    </i>
    <i r="1">
      <x v="26"/>
      <x v="1"/>
      <x v="1"/>
    </i>
    <i r="1">
      <x v="27"/>
      <x v="2"/>
      <x v="1"/>
    </i>
    <i r="1">
      <x v="28"/>
      <x v="3"/>
      <x v="1"/>
    </i>
    <i r="1">
      <x v="29"/>
      <x v="4"/>
      <x v="1"/>
    </i>
  </rowItems>
  <colItems count="1">
    <i/>
  </colItems>
  <pageFields count="1">
    <pageField fld="0" hier="-1"/>
  </pageFields>
  <dataFields count="1">
    <dataField name="Soma de Hora Extra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B7C794-87A6-4E75-B81C-0E9A23357BA8}" name="Tabela dinâmica9" cacheId="0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7" indent="0" compact="0" compactData="0" multipleFieldFilters="0">
  <location ref="J11:J49" firstHeaderRow="1" firstDataRow="1" firstDataCol="1"/>
  <pivotFields count="7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9">
        <item x="25"/>
        <item x="13"/>
        <item x="26"/>
        <item x="9"/>
        <item x="23"/>
        <item x="15"/>
        <item x="35"/>
        <item x="34"/>
        <item x="37"/>
        <item x="16"/>
        <item x="1"/>
        <item x="24"/>
        <item x="28"/>
        <item x="11"/>
        <item x="31"/>
        <item x="5"/>
        <item x="7"/>
        <item x="29"/>
        <item x="20"/>
        <item x="17"/>
        <item x="12"/>
        <item x="36"/>
        <item x="0"/>
        <item x="21"/>
        <item x="22"/>
        <item x="19"/>
        <item x="33"/>
        <item x="3"/>
        <item x="6"/>
        <item x="32"/>
        <item x="30"/>
        <item x="14"/>
        <item x="10"/>
        <item x="4"/>
        <item x="2"/>
        <item x="18"/>
        <item x="27"/>
        <item x="8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partamento" xr10:uid="{4A53D70D-544E-4CA8-B198-343620E1B58D}" sourceName="Departamento">
  <pivotTables>
    <pivotTable tabId="7" name="Tabela dinâmica7"/>
    <pivotTable tabId="7" name="Tabela dinâmica2"/>
    <pivotTable tabId="7" name="Tabela dinâmica8"/>
  </pivotTables>
  <data>
    <tabular pivotCacheId="563808796">
      <items count="3">
        <i x="0" s="1"/>
        <i x="2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ratativa" xr10:uid="{B4DC8D56-5E20-4643-B574-DB5F9BD7CA07}" sourceName="Tratativa">
  <pivotTables>
    <pivotTable tabId="7" name="Tabela dinâmica7"/>
    <pivotTable tabId="7" name="Tabela dinâmica2"/>
    <pivotTable tabId="7" name="Tabela dinâmica8"/>
  </pivotTables>
  <data>
    <tabular pivotCacheId="563808796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" xr10:uid="{C202DEF4-90BE-455C-90F6-E7C5C8459B5B}" cache="SegmentaçãodeDados_Departamento" caption="Departamento" style="SlicerStyleDark6 2" rowHeight="241300"/>
  <slicer name="Tratativa" xr10:uid="{AB94D10A-6CE5-4677-AFAE-80CC2EA75546}" cache="SegmentaçãodeDados_Tratativa" caption="Tratativa" style="SlicerStyleDark6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E756E5A-DBB5-4336-8891-1FA3D7CC103B}" name="Tabela5" displayName="Tabela5" ref="A1:G1222" totalsRowShown="0" headerRowDxfId="10">
  <autoFilter ref="A1:G1222" xr:uid="{CB04E89E-0FE4-4B92-A4BF-CCF7A3287060}"/>
  <tableColumns count="7">
    <tableColumn id="1" xr3:uid="{F5A9E48B-76AD-479B-888C-C8F3FF9E7DD9}" name="Departamento" dataDxfId="9"/>
    <tableColumn id="2" xr3:uid="{EAC55D17-A8D6-43DF-8F57-F5C1E2A65FFA}" name="Data" dataDxfId="8"/>
    <tableColumn id="3" xr3:uid="{DF78C068-C4C0-44D1-87B9-30803C609433}" name="Nome" dataDxfId="7"/>
    <tableColumn id="4" xr3:uid="{A879FE35-609F-412C-89F3-A0B68839AE4D}" name="Tratativa" dataDxfId="6"/>
    <tableColumn id="5" xr3:uid="{8A3DE8E4-6461-4DD9-95E7-124BF08C0944}" name="Hora Extra" dataDxfId="5"/>
    <tableColumn id="6" xr3:uid="{DF93CE01-B051-47CA-BD42-279B3F613C0D}" name="Dia" dataDxfId="4">
      <calculatedColumnFormula>DAY(Tabela5[[#This Row],[Data]])</calculatedColumnFormula>
    </tableColumn>
    <tableColumn id="8" xr3:uid="{5687BF4D-EDCF-43F9-930C-704893AFE3BC}" name="Dia Semana" dataDxfId="3">
      <calculatedColumnFormula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AC76D2-336B-401A-B1CC-9BF372646441}" name="Tabela4" displayName="Tabela4" ref="I2:J40" totalsRowShown="0">
  <autoFilter ref="I2:J40" xr:uid="{7EAC76D2-336B-401A-B1CC-9BF372646441}"/>
  <sortState xmlns:xlrd2="http://schemas.microsoft.com/office/spreadsheetml/2017/richdata2" ref="I3:J40">
    <sortCondition descending="1" ref="J2:J40"/>
  </sortState>
  <tableColumns count="2">
    <tableColumn id="1" xr3:uid="{5B56E28C-46B5-4585-B032-A5E6737E0393}" name="Nome"/>
    <tableColumn id="2" xr3:uid="{B1C7615C-E286-4DBA-839E-DED323DA0132}" name="Qtd">
      <calculatedColumnFormula>VLOOKUP(I3,F:G,2,0)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F2614-253A-4388-A74B-0BC7962FD17C}">
  <sheetPr codeName="Planilha1"/>
  <dimension ref="B2:T37"/>
  <sheetViews>
    <sheetView showGridLines="0" showRowColHeaders="0" zoomScaleNormal="100" workbookViewId="0">
      <selection activeCell="I1" sqref="A1:I1048576"/>
    </sheetView>
  </sheetViews>
  <sheetFormatPr defaultRowHeight="14.4"/>
  <sheetData>
    <row r="2" spans="2:20">
      <c r="C2" s="42" t="s">
        <v>3</v>
      </c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</row>
    <row r="3" spans="2:20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4"/>
    </row>
    <row r="4" spans="2:20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7"/>
    </row>
    <row r="5" spans="2:20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7"/>
    </row>
    <row r="6" spans="2:20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7"/>
    </row>
    <row r="7" spans="2:20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7"/>
    </row>
    <row r="8" spans="2:20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7"/>
    </row>
    <row r="9" spans="2:20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7"/>
    </row>
    <row r="10" spans="2:20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7"/>
    </row>
    <row r="11" spans="2:20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7"/>
    </row>
    <row r="12" spans="2:20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7"/>
    </row>
    <row r="13" spans="2:20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7"/>
    </row>
    <row r="14" spans="2:20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7"/>
    </row>
    <row r="15" spans="2:20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7"/>
    </row>
    <row r="16" spans="2:20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7"/>
    </row>
    <row r="17" spans="2:20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7"/>
    </row>
    <row r="18" spans="2:20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7"/>
    </row>
    <row r="19" spans="2:20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7"/>
    </row>
    <row r="20" spans="2:20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7"/>
    </row>
    <row r="21" spans="2:20" ht="15" customHeight="1">
      <c r="B21" s="5"/>
      <c r="C21" s="6"/>
      <c r="D21" s="6"/>
      <c r="E21" s="6"/>
      <c r="F21" s="6"/>
      <c r="G21" s="6"/>
      <c r="H21" s="6"/>
      <c r="I21" s="23" t="str">
        <f>CONCATENATE("TOP 10 COLABORADORES COM MAIOR QUANTIDADE DE HORA EXTRA | ","DEPARTAMENTO: ",M22)</f>
        <v>TOP 10 COLABORADORES COM MAIOR QUANTIDADE DE HORA EXTRA | DEPARTAMENTO: DCMD</v>
      </c>
      <c r="J21" s="6"/>
      <c r="K21" s="6"/>
      <c r="L21" s="6"/>
      <c r="M21" s="6"/>
      <c r="N21" s="6"/>
      <c r="O21" s="6"/>
      <c r="P21" s="6"/>
      <c r="Q21" s="6"/>
      <c r="R21" s="6"/>
      <c r="S21" s="6"/>
      <c r="T21" s="7"/>
    </row>
    <row r="22" spans="2:20" ht="15" customHeight="1">
      <c r="B22" s="5"/>
      <c r="C22" s="6"/>
      <c r="D22" s="6"/>
      <c r="E22" s="6"/>
      <c r="F22" s="6"/>
      <c r="G22" s="6"/>
      <c r="H22" s="44" t="s">
        <v>54</v>
      </c>
      <c r="I22" s="44"/>
      <c r="J22" s="44"/>
      <c r="K22" s="44"/>
      <c r="L22" s="44"/>
      <c r="M22" s="43" t="s">
        <v>5</v>
      </c>
      <c r="N22" s="43"/>
      <c r="O22" s="6"/>
      <c r="P22" s="6"/>
      <c r="Q22" s="6"/>
      <c r="R22" s="6"/>
      <c r="S22" s="6"/>
      <c r="T22" s="7"/>
    </row>
    <row r="23" spans="2:20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7"/>
    </row>
    <row r="24" spans="2:20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7"/>
    </row>
    <row r="25" spans="2:20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7"/>
    </row>
    <row r="26" spans="2:20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7"/>
    </row>
    <row r="27" spans="2:20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7"/>
    </row>
    <row r="28" spans="2:20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7"/>
    </row>
    <row r="29" spans="2:20"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7"/>
    </row>
    <row r="30" spans="2:20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7"/>
    </row>
    <row r="31" spans="2:20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7"/>
    </row>
    <row r="32" spans="2:20"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7"/>
    </row>
    <row r="33" spans="2:20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7"/>
    </row>
    <row r="34" spans="2:20"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7"/>
    </row>
    <row r="35" spans="2:20"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7"/>
    </row>
    <row r="36" spans="2:20"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7"/>
    </row>
    <row r="37" spans="2:20">
      <c r="B37" s="8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10"/>
    </row>
  </sheetData>
  <mergeCells count="3">
    <mergeCell ref="C2:S2"/>
    <mergeCell ref="M22:N22"/>
    <mergeCell ref="H22:L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9E12A9F-ED84-4C0D-BAAA-9CA2D0B42AB5}">
          <x14:formula1>
            <xm:f>'Aba auxiliar'!#REF!</xm:f>
          </x14:formula1>
          <xm:sqref>F5</xm:sqref>
        </x14:dataValidation>
        <x14:dataValidation type="list" allowBlank="1" showInputMessage="1" showErrorMessage="1" xr:uid="{932CB83D-A276-4C0A-9B2B-95F8A0AA9756}">
          <x14:formula1>
            <xm:f>'Aba auxiliar'!$B$3:$B$6</xm:f>
          </x14:formula1>
          <xm:sqref>M22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E89E-0FE4-4B92-A4BF-CCF7A3287060}">
  <sheetPr codeName="Planilha2">
    <tabColor theme="0" tint="-0.499984740745262"/>
  </sheetPr>
  <dimension ref="A1:G1222"/>
  <sheetViews>
    <sheetView workbookViewId="0">
      <selection activeCell="D2" sqref="D2:D1222"/>
    </sheetView>
  </sheetViews>
  <sheetFormatPr defaultColWidth="9.109375" defaultRowHeight="14.4"/>
  <cols>
    <col min="1" max="1" width="16" style="11" customWidth="1"/>
    <col min="2" max="2" width="15.6640625" style="12" customWidth="1"/>
    <col min="3" max="3" width="41.5546875" style="1" bestFit="1" customWidth="1"/>
    <col min="4" max="4" width="15.6640625" style="1" customWidth="1"/>
    <col min="5" max="5" width="13.6640625" style="13" customWidth="1"/>
    <col min="6" max="6" width="13.44140625" style="11" customWidth="1"/>
    <col min="7" max="7" width="15.88671875" style="11" bestFit="1" customWidth="1"/>
    <col min="8" max="16384" width="9.109375" style="11"/>
  </cols>
  <sheetData>
    <row r="1" spans="1:7">
      <c r="A1" s="1" t="s">
        <v>45</v>
      </c>
      <c r="B1" s="12" t="s">
        <v>1</v>
      </c>
      <c r="C1" s="1" t="s">
        <v>0</v>
      </c>
      <c r="D1" s="1" t="s">
        <v>2</v>
      </c>
      <c r="E1" s="13" t="s">
        <v>48</v>
      </c>
      <c r="F1" s="1" t="s">
        <v>55</v>
      </c>
      <c r="G1" s="1" t="s">
        <v>56</v>
      </c>
    </row>
    <row r="2" spans="1:7">
      <c r="A2" s="11" t="s">
        <v>5</v>
      </c>
      <c r="B2" s="12">
        <v>44287</v>
      </c>
      <c r="C2" s="1" t="s">
        <v>7</v>
      </c>
      <c r="D2" s="1" t="s">
        <v>46</v>
      </c>
      <c r="E2" s="13">
        <v>2</v>
      </c>
      <c r="F2" s="11">
        <f>DAY(Tabela5[[#This Row],[Data]])</f>
        <v>1</v>
      </c>
      <c r="G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" spans="1:7">
      <c r="A3" s="11" t="s">
        <v>5</v>
      </c>
      <c r="B3" s="12">
        <v>44291</v>
      </c>
      <c r="C3" s="1" t="s">
        <v>7</v>
      </c>
      <c r="D3" s="1" t="s">
        <v>47</v>
      </c>
      <c r="E3" s="13">
        <v>2</v>
      </c>
      <c r="F3" s="11">
        <f>DAY(Tabela5[[#This Row],[Data]])</f>
        <v>5</v>
      </c>
      <c r="G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" spans="1:7">
      <c r="A4" s="11" t="s">
        <v>5</v>
      </c>
      <c r="B4" s="12">
        <v>44291</v>
      </c>
      <c r="C4" s="1" t="s">
        <v>7</v>
      </c>
      <c r="D4" s="1" t="s">
        <v>46</v>
      </c>
      <c r="E4" s="13">
        <v>1</v>
      </c>
      <c r="F4" s="11">
        <f>DAY(Tabela5[[#This Row],[Data]])</f>
        <v>5</v>
      </c>
      <c r="G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" spans="1:7">
      <c r="A5" s="11" t="s">
        <v>5</v>
      </c>
      <c r="B5" s="12">
        <v>44291</v>
      </c>
      <c r="C5" s="1" t="s">
        <v>7</v>
      </c>
      <c r="D5" s="1" t="s">
        <v>47</v>
      </c>
      <c r="E5" s="13">
        <v>1</v>
      </c>
      <c r="F5" s="11">
        <f>DAY(Tabela5[[#This Row],[Data]])</f>
        <v>5</v>
      </c>
      <c r="G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" spans="1:7">
      <c r="A6" s="11" t="s">
        <v>5</v>
      </c>
      <c r="B6" s="12">
        <v>44292</v>
      </c>
      <c r="C6" s="1" t="s">
        <v>7</v>
      </c>
      <c r="D6" s="1" t="s">
        <v>46</v>
      </c>
      <c r="E6" s="13">
        <v>2</v>
      </c>
      <c r="F6" s="11">
        <f>DAY(Tabela5[[#This Row],[Data]])</f>
        <v>6</v>
      </c>
      <c r="G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" spans="1:7">
      <c r="A7" s="11" t="s">
        <v>5</v>
      </c>
      <c r="B7" s="12">
        <v>44293</v>
      </c>
      <c r="C7" s="1" t="s">
        <v>7</v>
      </c>
      <c r="D7" s="1" t="s">
        <v>47</v>
      </c>
      <c r="E7" s="13">
        <v>2</v>
      </c>
      <c r="F7" s="11">
        <f>DAY(Tabela5[[#This Row],[Data]])</f>
        <v>7</v>
      </c>
      <c r="G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" spans="1:7">
      <c r="A8" s="11" t="s">
        <v>5</v>
      </c>
      <c r="B8" s="12">
        <v>44294</v>
      </c>
      <c r="C8" s="1" t="s">
        <v>7</v>
      </c>
      <c r="D8" s="1" t="s">
        <v>46</v>
      </c>
      <c r="E8" s="13">
        <v>2</v>
      </c>
      <c r="F8" s="11">
        <f>DAY(Tabela5[[#This Row],[Data]])</f>
        <v>8</v>
      </c>
      <c r="G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" spans="1:7">
      <c r="A9" s="11" t="s">
        <v>5</v>
      </c>
      <c r="B9" s="12">
        <v>44295</v>
      </c>
      <c r="C9" s="1" t="s">
        <v>7</v>
      </c>
      <c r="D9" s="1" t="s">
        <v>47</v>
      </c>
      <c r="E9" s="13">
        <v>1</v>
      </c>
      <c r="F9" s="11">
        <f>DAY(Tabela5[[#This Row],[Data]])</f>
        <v>9</v>
      </c>
      <c r="G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" spans="1:7">
      <c r="A10" s="11" t="s">
        <v>5</v>
      </c>
      <c r="B10" s="12">
        <v>44295</v>
      </c>
      <c r="C10" s="1" t="s">
        <v>7</v>
      </c>
      <c r="D10" s="1" t="s">
        <v>46</v>
      </c>
      <c r="E10" s="13">
        <v>2</v>
      </c>
      <c r="F10" s="11">
        <f>DAY(Tabela5[[#This Row],[Data]])</f>
        <v>9</v>
      </c>
      <c r="G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" spans="1:7">
      <c r="A11" s="11" t="s">
        <v>5</v>
      </c>
      <c r="B11" s="12">
        <v>44298</v>
      </c>
      <c r="C11" s="1" t="s">
        <v>7</v>
      </c>
      <c r="D11" s="1" t="s">
        <v>47</v>
      </c>
      <c r="E11" s="13">
        <v>2</v>
      </c>
      <c r="F11" s="11">
        <f>DAY(Tabela5[[#This Row],[Data]])</f>
        <v>12</v>
      </c>
      <c r="G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2" spans="1:7">
      <c r="A12" s="11" t="s">
        <v>5</v>
      </c>
      <c r="B12" s="12">
        <v>44299</v>
      </c>
      <c r="C12" s="1" t="s">
        <v>7</v>
      </c>
      <c r="D12" s="1" t="s">
        <v>46</v>
      </c>
      <c r="E12" s="13">
        <v>2</v>
      </c>
      <c r="F12" s="11">
        <f>DAY(Tabela5[[#This Row],[Data]])</f>
        <v>13</v>
      </c>
      <c r="G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3" spans="1:7">
      <c r="A13" s="11" t="s">
        <v>5</v>
      </c>
      <c r="B13" s="12">
        <v>44299</v>
      </c>
      <c r="C13" s="1" t="s">
        <v>7</v>
      </c>
      <c r="D13" s="1" t="s">
        <v>47</v>
      </c>
      <c r="E13" s="13">
        <v>2</v>
      </c>
      <c r="F13" s="11">
        <f>DAY(Tabela5[[#This Row],[Data]])</f>
        <v>13</v>
      </c>
      <c r="G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4" spans="1:7">
      <c r="A14" s="11" t="s">
        <v>5</v>
      </c>
      <c r="B14" s="12">
        <v>44300</v>
      </c>
      <c r="C14" s="1" t="s">
        <v>7</v>
      </c>
      <c r="D14" s="1" t="s">
        <v>46</v>
      </c>
      <c r="E14" s="13">
        <v>2</v>
      </c>
      <c r="F14" s="11">
        <f>DAY(Tabela5[[#This Row],[Data]])</f>
        <v>14</v>
      </c>
      <c r="G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5" spans="1:7">
      <c r="A15" s="11" t="s">
        <v>5</v>
      </c>
      <c r="B15" s="12">
        <v>44300</v>
      </c>
      <c r="C15" s="1" t="s">
        <v>7</v>
      </c>
      <c r="D15" s="1" t="s">
        <v>47</v>
      </c>
      <c r="E15" s="13">
        <v>1</v>
      </c>
      <c r="F15" s="11">
        <f>DAY(Tabela5[[#This Row],[Data]])</f>
        <v>14</v>
      </c>
      <c r="G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6" spans="1:7">
      <c r="A16" s="11" t="s">
        <v>5</v>
      </c>
      <c r="B16" s="12">
        <v>44300</v>
      </c>
      <c r="C16" s="1" t="s">
        <v>7</v>
      </c>
      <c r="D16" s="1" t="s">
        <v>46</v>
      </c>
      <c r="E16" s="13">
        <v>1</v>
      </c>
      <c r="F16" s="11">
        <f>DAY(Tabela5[[#This Row],[Data]])</f>
        <v>14</v>
      </c>
      <c r="G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7" spans="1:7">
      <c r="A17" s="11" t="s">
        <v>5</v>
      </c>
      <c r="B17" s="12">
        <v>44301</v>
      </c>
      <c r="C17" s="1" t="s">
        <v>7</v>
      </c>
      <c r="D17" s="1" t="s">
        <v>47</v>
      </c>
      <c r="E17" s="13">
        <v>2</v>
      </c>
      <c r="F17" s="11">
        <f>DAY(Tabela5[[#This Row],[Data]])</f>
        <v>15</v>
      </c>
      <c r="G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8" spans="1:7">
      <c r="A18" s="11" t="s">
        <v>5</v>
      </c>
      <c r="B18" s="12">
        <v>44302</v>
      </c>
      <c r="C18" s="1" t="s">
        <v>7</v>
      </c>
      <c r="D18" s="1" t="s">
        <v>46</v>
      </c>
      <c r="E18" s="13">
        <v>1</v>
      </c>
      <c r="F18" s="11">
        <f>DAY(Tabela5[[#This Row],[Data]])</f>
        <v>16</v>
      </c>
      <c r="G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9" spans="1:7">
      <c r="A19" s="11" t="s">
        <v>5</v>
      </c>
      <c r="B19" s="12">
        <v>44305</v>
      </c>
      <c r="C19" s="1" t="s">
        <v>7</v>
      </c>
      <c r="D19" s="1" t="s">
        <v>47</v>
      </c>
      <c r="E19" s="13">
        <v>2</v>
      </c>
      <c r="F19" s="11">
        <f>DAY(Tabela5[[#This Row],[Data]])</f>
        <v>19</v>
      </c>
      <c r="G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0" spans="1:7">
      <c r="A20" s="11" t="s">
        <v>5</v>
      </c>
      <c r="B20" s="12">
        <v>44306</v>
      </c>
      <c r="C20" s="1" t="s">
        <v>7</v>
      </c>
      <c r="D20" s="1" t="s">
        <v>46</v>
      </c>
      <c r="E20" s="13">
        <v>2</v>
      </c>
      <c r="F20" s="11">
        <f>DAY(Tabela5[[#This Row],[Data]])</f>
        <v>20</v>
      </c>
      <c r="G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1" spans="1:7">
      <c r="A21" s="11" t="s">
        <v>5</v>
      </c>
      <c r="B21" s="12">
        <v>44308</v>
      </c>
      <c r="C21" s="1" t="s">
        <v>7</v>
      </c>
      <c r="D21" s="1" t="s">
        <v>47</v>
      </c>
      <c r="E21" s="13">
        <v>2</v>
      </c>
      <c r="F21" s="11">
        <f>DAY(Tabela5[[#This Row],[Data]])</f>
        <v>22</v>
      </c>
      <c r="G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2" spans="1:7">
      <c r="A22" s="11" t="s">
        <v>5</v>
      </c>
      <c r="B22" s="12">
        <v>44309</v>
      </c>
      <c r="C22" s="1" t="s">
        <v>7</v>
      </c>
      <c r="D22" s="1" t="s">
        <v>46</v>
      </c>
      <c r="E22" s="13">
        <v>1</v>
      </c>
      <c r="F22" s="11">
        <f>DAY(Tabela5[[#This Row],[Data]])</f>
        <v>23</v>
      </c>
      <c r="G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3" spans="1:7">
      <c r="A23" s="11" t="s">
        <v>5</v>
      </c>
      <c r="B23" s="12">
        <v>44312</v>
      </c>
      <c r="C23" s="1" t="s">
        <v>7</v>
      </c>
      <c r="D23" s="1" t="s">
        <v>47</v>
      </c>
      <c r="E23" s="13">
        <v>2</v>
      </c>
      <c r="F23" s="11">
        <f>DAY(Tabela5[[#This Row],[Data]])</f>
        <v>26</v>
      </c>
      <c r="G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4" spans="1:7">
      <c r="A24" s="11" t="s">
        <v>5</v>
      </c>
      <c r="B24" s="12">
        <v>44312</v>
      </c>
      <c r="C24" s="1" t="s">
        <v>7</v>
      </c>
      <c r="D24" s="1" t="s">
        <v>46</v>
      </c>
      <c r="E24" s="13">
        <v>1</v>
      </c>
      <c r="F24" s="11">
        <f>DAY(Tabela5[[#This Row],[Data]])</f>
        <v>26</v>
      </c>
      <c r="G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5" spans="1:7">
      <c r="A25" s="11" t="s">
        <v>5</v>
      </c>
      <c r="B25" s="12">
        <v>44312</v>
      </c>
      <c r="C25" s="1" t="s">
        <v>7</v>
      </c>
      <c r="D25" s="1" t="s">
        <v>47</v>
      </c>
      <c r="E25" s="13">
        <v>1</v>
      </c>
      <c r="F25" s="11">
        <f>DAY(Tabela5[[#This Row],[Data]])</f>
        <v>26</v>
      </c>
      <c r="G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6" spans="1:7">
      <c r="A26" s="11" t="s">
        <v>5</v>
      </c>
      <c r="B26" s="12">
        <v>44313</v>
      </c>
      <c r="C26" s="1" t="s">
        <v>7</v>
      </c>
      <c r="D26" s="1" t="s">
        <v>46</v>
      </c>
      <c r="E26" s="13">
        <v>2</v>
      </c>
      <c r="F26" s="11">
        <f>DAY(Tabela5[[#This Row],[Data]])</f>
        <v>27</v>
      </c>
      <c r="G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7" spans="1:7">
      <c r="A27" s="11" t="s">
        <v>5</v>
      </c>
      <c r="B27" s="12">
        <v>44314</v>
      </c>
      <c r="C27" s="1" t="s">
        <v>7</v>
      </c>
      <c r="D27" s="1" t="s">
        <v>47</v>
      </c>
      <c r="E27" s="13">
        <v>2</v>
      </c>
      <c r="F27" s="11">
        <f>DAY(Tabela5[[#This Row],[Data]])</f>
        <v>28</v>
      </c>
      <c r="G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8" spans="1:7">
      <c r="A28" s="11" t="s">
        <v>5</v>
      </c>
      <c r="B28" s="12">
        <v>44315</v>
      </c>
      <c r="C28" s="1" t="s">
        <v>7</v>
      </c>
      <c r="D28" s="1" t="s">
        <v>46</v>
      </c>
      <c r="E28" s="13">
        <v>1</v>
      </c>
      <c r="F28" s="11">
        <f>DAY(Tabela5[[#This Row],[Data]])</f>
        <v>29</v>
      </c>
      <c r="G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9" spans="1:7">
      <c r="A29" s="11" t="s">
        <v>5</v>
      </c>
      <c r="B29" s="12">
        <v>44316</v>
      </c>
      <c r="C29" s="1" t="s">
        <v>7</v>
      </c>
      <c r="D29" s="1" t="s">
        <v>47</v>
      </c>
      <c r="E29" s="13">
        <v>1</v>
      </c>
      <c r="F29" s="11">
        <f>DAY(Tabela5[[#This Row],[Data]])</f>
        <v>30</v>
      </c>
      <c r="G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0" spans="1:7">
      <c r="A30" s="11" t="s">
        <v>5</v>
      </c>
      <c r="B30" s="12">
        <v>44316</v>
      </c>
      <c r="C30" s="1" t="s">
        <v>7</v>
      </c>
      <c r="D30" s="1" t="s">
        <v>46</v>
      </c>
      <c r="E30" s="13">
        <v>1</v>
      </c>
      <c r="F30" s="11">
        <f>DAY(Tabela5[[#This Row],[Data]])</f>
        <v>30</v>
      </c>
      <c r="G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1" spans="1:7">
      <c r="A31" s="11" t="s">
        <v>5</v>
      </c>
      <c r="B31" s="12">
        <v>44316</v>
      </c>
      <c r="C31" s="1" t="s">
        <v>7</v>
      </c>
      <c r="D31" s="1" t="s">
        <v>47</v>
      </c>
      <c r="E31" s="13">
        <v>2</v>
      </c>
      <c r="F31" s="11">
        <f>DAY(Tabela5[[#This Row],[Data]])</f>
        <v>30</v>
      </c>
      <c r="G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2" spans="1:7">
      <c r="A32" s="11" t="s">
        <v>5</v>
      </c>
      <c r="B32" s="12">
        <v>44287</v>
      </c>
      <c r="C32" s="1" t="s">
        <v>10</v>
      </c>
      <c r="D32" s="1" t="s">
        <v>46</v>
      </c>
      <c r="E32" s="13">
        <v>2</v>
      </c>
      <c r="F32" s="11">
        <f>DAY(Tabela5[[#This Row],[Data]])</f>
        <v>1</v>
      </c>
      <c r="G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3" spans="1:7">
      <c r="A33" s="11" t="s">
        <v>5</v>
      </c>
      <c r="B33" s="12">
        <v>44291</v>
      </c>
      <c r="C33" s="1" t="s">
        <v>10</v>
      </c>
      <c r="D33" s="1" t="s">
        <v>47</v>
      </c>
      <c r="E33" s="13">
        <v>1</v>
      </c>
      <c r="F33" s="11">
        <f>DAY(Tabela5[[#This Row],[Data]])</f>
        <v>5</v>
      </c>
      <c r="G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4" spans="1:7">
      <c r="A34" s="11" t="s">
        <v>5</v>
      </c>
      <c r="B34" s="12">
        <v>44292</v>
      </c>
      <c r="C34" s="1" t="s">
        <v>10</v>
      </c>
      <c r="D34" s="1" t="s">
        <v>46</v>
      </c>
      <c r="E34" s="13">
        <v>2</v>
      </c>
      <c r="F34" s="11">
        <f>DAY(Tabela5[[#This Row],[Data]])</f>
        <v>6</v>
      </c>
      <c r="G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5" spans="1:7">
      <c r="A35" s="11" t="s">
        <v>5</v>
      </c>
      <c r="B35" s="12">
        <v>44293</v>
      </c>
      <c r="C35" s="1" t="s">
        <v>10</v>
      </c>
      <c r="D35" s="1" t="s">
        <v>47</v>
      </c>
      <c r="E35" s="13">
        <v>2</v>
      </c>
      <c r="F35" s="11">
        <f>DAY(Tabela5[[#This Row],[Data]])</f>
        <v>7</v>
      </c>
      <c r="G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6" spans="1:7">
      <c r="A36" s="11" t="s">
        <v>5</v>
      </c>
      <c r="B36" s="12">
        <v>44294</v>
      </c>
      <c r="C36" s="1" t="s">
        <v>10</v>
      </c>
      <c r="D36" s="1" t="s">
        <v>46</v>
      </c>
      <c r="E36" s="13">
        <v>1</v>
      </c>
      <c r="F36" s="11">
        <f>DAY(Tabela5[[#This Row],[Data]])</f>
        <v>8</v>
      </c>
      <c r="G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7" spans="1:7">
      <c r="A37" s="11" t="s">
        <v>5</v>
      </c>
      <c r="B37" s="12">
        <v>44295</v>
      </c>
      <c r="C37" s="1" t="s">
        <v>10</v>
      </c>
      <c r="D37" s="1" t="s">
        <v>47</v>
      </c>
      <c r="E37" s="13">
        <v>2</v>
      </c>
      <c r="F37" s="11">
        <f>DAY(Tabela5[[#This Row],[Data]])</f>
        <v>9</v>
      </c>
      <c r="G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8" spans="1:7">
      <c r="A38" s="11" t="s">
        <v>5</v>
      </c>
      <c r="B38" s="12">
        <v>44298</v>
      </c>
      <c r="C38" s="1" t="s">
        <v>10</v>
      </c>
      <c r="D38" s="1" t="s">
        <v>46</v>
      </c>
      <c r="E38" s="13">
        <v>1</v>
      </c>
      <c r="F38" s="11">
        <f>DAY(Tabela5[[#This Row],[Data]])</f>
        <v>12</v>
      </c>
      <c r="G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9" spans="1:7">
      <c r="A39" s="11" t="s">
        <v>5</v>
      </c>
      <c r="B39" s="12">
        <v>44299</v>
      </c>
      <c r="C39" s="1" t="s">
        <v>10</v>
      </c>
      <c r="D39" s="1" t="s">
        <v>47</v>
      </c>
      <c r="E39" s="13">
        <v>2</v>
      </c>
      <c r="F39" s="11">
        <f>DAY(Tabela5[[#This Row],[Data]])</f>
        <v>13</v>
      </c>
      <c r="G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0" spans="1:7">
      <c r="A40" s="11" t="s">
        <v>5</v>
      </c>
      <c r="B40" s="12">
        <v>44300</v>
      </c>
      <c r="C40" s="1" t="s">
        <v>10</v>
      </c>
      <c r="D40" s="1" t="s">
        <v>46</v>
      </c>
      <c r="E40" s="13">
        <v>1</v>
      </c>
      <c r="F40" s="11">
        <f>DAY(Tabela5[[#This Row],[Data]])</f>
        <v>14</v>
      </c>
      <c r="G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1" spans="1:7">
      <c r="A41" s="11" t="s">
        <v>5</v>
      </c>
      <c r="B41" s="12">
        <v>44301</v>
      </c>
      <c r="C41" s="1" t="s">
        <v>10</v>
      </c>
      <c r="D41" s="1" t="s">
        <v>47</v>
      </c>
      <c r="E41" s="13">
        <v>1</v>
      </c>
      <c r="F41" s="11">
        <f>DAY(Tabela5[[#This Row],[Data]])</f>
        <v>15</v>
      </c>
      <c r="G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2" spans="1:7">
      <c r="A42" s="11" t="s">
        <v>5</v>
      </c>
      <c r="B42" s="12">
        <v>44302</v>
      </c>
      <c r="C42" s="1" t="s">
        <v>10</v>
      </c>
      <c r="D42" s="1" t="s">
        <v>46</v>
      </c>
      <c r="E42" s="13">
        <v>1</v>
      </c>
      <c r="F42" s="11">
        <f>DAY(Tabela5[[#This Row],[Data]])</f>
        <v>16</v>
      </c>
      <c r="G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3" spans="1:7">
      <c r="A43" s="11" t="s">
        <v>5</v>
      </c>
      <c r="B43" s="12">
        <v>44305</v>
      </c>
      <c r="C43" s="1" t="s">
        <v>10</v>
      </c>
      <c r="D43" s="1" t="s">
        <v>47</v>
      </c>
      <c r="E43" s="13">
        <v>1</v>
      </c>
      <c r="F43" s="11">
        <f>DAY(Tabela5[[#This Row],[Data]])</f>
        <v>19</v>
      </c>
      <c r="G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4" spans="1:7">
      <c r="A44" s="11" t="s">
        <v>5</v>
      </c>
      <c r="B44" s="12">
        <v>44306</v>
      </c>
      <c r="C44" s="1" t="s">
        <v>10</v>
      </c>
      <c r="D44" s="1" t="s">
        <v>46</v>
      </c>
      <c r="E44" s="13">
        <v>2</v>
      </c>
      <c r="F44" s="11">
        <f>DAY(Tabela5[[#This Row],[Data]])</f>
        <v>20</v>
      </c>
      <c r="G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5" spans="1:7">
      <c r="A45" s="11" t="s">
        <v>5</v>
      </c>
      <c r="B45" s="12">
        <v>44308</v>
      </c>
      <c r="C45" s="1" t="s">
        <v>10</v>
      </c>
      <c r="D45" s="1" t="s">
        <v>47</v>
      </c>
      <c r="E45" s="13">
        <v>1</v>
      </c>
      <c r="F45" s="11">
        <f>DAY(Tabela5[[#This Row],[Data]])</f>
        <v>22</v>
      </c>
      <c r="G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6" spans="1:7">
      <c r="A46" s="11" t="s">
        <v>5</v>
      </c>
      <c r="B46" s="12">
        <v>44309</v>
      </c>
      <c r="C46" s="1" t="s">
        <v>10</v>
      </c>
      <c r="D46" s="1" t="s">
        <v>46</v>
      </c>
      <c r="E46" s="13">
        <v>1</v>
      </c>
      <c r="F46" s="11">
        <f>DAY(Tabela5[[#This Row],[Data]])</f>
        <v>23</v>
      </c>
      <c r="G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7" spans="1:7">
      <c r="A47" s="11" t="s">
        <v>5</v>
      </c>
      <c r="B47" s="12">
        <v>44312</v>
      </c>
      <c r="C47" s="1" t="s">
        <v>10</v>
      </c>
      <c r="D47" s="1" t="s">
        <v>47</v>
      </c>
      <c r="E47" s="13">
        <v>1</v>
      </c>
      <c r="F47" s="11">
        <f>DAY(Tabela5[[#This Row],[Data]])</f>
        <v>26</v>
      </c>
      <c r="G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8" spans="1:7">
      <c r="A48" s="11" t="s">
        <v>5</v>
      </c>
      <c r="B48" s="12">
        <v>44313</v>
      </c>
      <c r="C48" s="1" t="s">
        <v>10</v>
      </c>
      <c r="D48" s="1" t="s">
        <v>46</v>
      </c>
      <c r="E48" s="13">
        <v>1</v>
      </c>
      <c r="F48" s="11">
        <f>DAY(Tabela5[[#This Row],[Data]])</f>
        <v>27</v>
      </c>
      <c r="G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9" spans="1:7">
      <c r="A49" s="11" t="s">
        <v>5</v>
      </c>
      <c r="B49" s="12">
        <v>44314</v>
      </c>
      <c r="C49" s="1" t="s">
        <v>10</v>
      </c>
      <c r="D49" s="1" t="s">
        <v>47</v>
      </c>
      <c r="E49" s="13">
        <v>1</v>
      </c>
      <c r="F49" s="11">
        <f>DAY(Tabela5[[#This Row],[Data]])</f>
        <v>28</v>
      </c>
      <c r="G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0" spans="1:7">
      <c r="A50" s="11" t="s">
        <v>5</v>
      </c>
      <c r="B50" s="12">
        <v>44315</v>
      </c>
      <c r="C50" s="1" t="s">
        <v>10</v>
      </c>
      <c r="D50" s="1" t="s">
        <v>46</v>
      </c>
      <c r="E50" s="13">
        <v>1</v>
      </c>
      <c r="F50" s="11">
        <f>DAY(Tabela5[[#This Row],[Data]])</f>
        <v>29</v>
      </c>
      <c r="G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1" spans="1:7">
      <c r="A51" s="11" t="s">
        <v>5</v>
      </c>
      <c r="B51" s="12">
        <v>44316</v>
      </c>
      <c r="C51" s="1" t="s">
        <v>10</v>
      </c>
      <c r="D51" s="1" t="s">
        <v>47</v>
      </c>
      <c r="E51" s="13">
        <v>2</v>
      </c>
      <c r="F51" s="11">
        <f>DAY(Tabela5[[#This Row],[Data]])</f>
        <v>30</v>
      </c>
      <c r="G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2" spans="1:7">
      <c r="A52" s="11" t="s">
        <v>5</v>
      </c>
      <c r="B52" s="12">
        <v>44287</v>
      </c>
      <c r="C52" s="1" t="s">
        <v>16</v>
      </c>
      <c r="D52" s="1" t="s">
        <v>46</v>
      </c>
      <c r="E52" s="13">
        <v>2</v>
      </c>
      <c r="F52" s="11">
        <f>DAY(Tabela5[[#This Row],[Data]])</f>
        <v>1</v>
      </c>
      <c r="G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3" spans="1:7">
      <c r="A53" s="11" t="s">
        <v>5</v>
      </c>
      <c r="B53" s="12">
        <v>44291</v>
      </c>
      <c r="C53" s="1" t="s">
        <v>16</v>
      </c>
      <c r="D53" s="1" t="s">
        <v>47</v>
      </c>
      <c r="E53" s="13">
        <v>2</v>
      </c>
      <c r="F53" s="11">
        <f>DAY(Tabela5[[#This Row],[Data]])</f>
        <v>5</v>
      </c>
      <c r="G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4" spans="1:7">
      <c r="A54" s="11" t="s">
        <v>5</v>
      </c>
      <c r="B54" s="12">
        <v>44291</v>
      </c>
      <c r="C54" s="1" t="s">
        <v>16</v>
      </c>
      <c r="D54" s="1" t="s">
        <v>46</v>
      </c>
      <c r="E54" s="13">
        <v>1</v>
      </c>
      <c r="F54" s="11">
        <f>DAY(Tabela5[[#This Row],[Data]])</f>
        <v>5</v>
      </c>
      <c r="G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5" spans="1:7">
      <c r="A55" s="11" t="s">
        <v>5</v>
      </c>
      <c r="B55" s="12">
        <v>44292</v>
      </c>
      <c r="C55" s="1" t="s">
        <v>16</v>
      </c>
      <c r="D55" s="1" t="s">
        <v>47</v>
      </c>
      <c r="E55" s="13">
        <v>2</v>
      </c>
      <c r="F55" s="11">
        <f>DAY(Tabela5[[#This Row],[Data]])</f>
        <v>6</v>
      </c>
      <c r="G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6" spans="1:7">
      <c r="A56" s="11" t="s">
        <v>5</v>
      </c>
      <c r="B56" s="12">
        <v>44292</v>
      </c>
      <c r="C56" s="1" t="s">
        <v>16</v>
      </c>
      <c r="D56" s="1" t="s">
        <v>46</v>
      </c>
      <c r="E56" s="13">
        <v>1</v>
      </c>
      <c r="F56" s="11">
        <f>DAY(Tabela5[[#This Row],[Data]])</f>
        <v>6</v>
      </c>
      <c r="G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7" spans="1:7">
      <c r="A57" s="11" t="s">
        <v>5</v>
      </c>
      <c r="B57" s="12">
        <v>44293</v>
      </c>
      <c r="C57" s="1" t="s">
        <v>16</v>
      </c>
      <c r="D57" s="1" t="s">
        <v>47</v>
      </c>
      <c r="E57" s="13">
        <v>1</v>
      </c>
      <c r="F57" s="11">
        <f>DAY(Tabela5[[#This Row],[Data]])</f>
        <v>7</v>
      </c>
      <c r="G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8" spans="1:7">
      <c r="A58" s="11" t="s">
        <v>5</v>
      </c>
      <c r="B58" s="12">
        <v>44293</v>
      </c>
      <c r="C58" s="1" t="s">
        <v>16</v>
      </c>
      <c r="D58" s="1" t="s">
        <v>46</v>
      </c>
      <c r="E58" s="13">
        <v>2</v>
      </c>
      <c r="F58" s="11">
        <f>DAY(Tabela5[[#This Row],[Data]])</f>
        <v>7</v>
      </c>
      <c r="G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9" spans="1:7">
      <c r="A59" s="11" t="s">
        <v>5</v>
      </c>
      <c r="B59" s="12">
        <v>44293</v>
      </c>
      <c r="C59" s="1" t="s">
        <v>16</v>
      </c>
      <c r="D59" s="1" t="s">
        <v>47</v>
      </c>
      <c r="E59" s="13">
        <v>1</v>
      </c>
      <c r="F59" s="11">
        <f>DAY(Tabela5[[#This Row],[Data]])</f>
        <v>7</v>
      </c>
      <c r="G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0" spans="1:7">
      <c r="A60" s="11" t="s">
        <v>5</v>
      </c>
      <c r="B60" s="12">
        <v>44294</v>
      </c>
      <c r="C60" s="1" t="s">
        <v>16</v>
      </c>
      <c r="D60" s="1" t="s">
        <v>46</v>
      </c>
      <c r="E60" s="13">
        <v>2</v>
      </c>
      <c r="F60" s="11">
        <f>DAY(Tabela5[[#This Row],[Data]])</f>
        <v>8</v>
      </c>
      <c r="G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1" spans="1:7">
      <c r="A61" s="11" t="s">
        <v>5</v>
      </c>
      <c r="B61" s="12">
        <v>44294</v>
      </c>
      <c r="C61" s="1" t="s">
        <v>16</v>
      </c>
      <c r="D61" s="1" t="s">
        <v>47</v>
      </c>
      <c r="E61" s="13">
        <v>1</v>
      </c>
      <c r="F61" s="11">
        <f>DAY(Tabela5[[#This Row],[Data]])</f>
        <v>8</v>
      </c>
      <c r="G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2" spans="1:7">
      <c r="A62" s="11" t="s">
        <v>5</v>
      </c>
      <c r="B62" s="12">
        <v>44294</v>
      </c>
      <c r="C62" s="1" t="s">
        <v>16</v>
      </c>
      <c r="D62" s="1" t="s">
        <v>46</v>
      </c>
      <c r="E62" s="13">
        <v>1</v>
      </c>
      <c r="F62" s="11">
        <f>DAY(Tabela5[[#This Row],[Data]])</f>
        <v>8</v>
      </c>
      <c r="G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3" spans="1:7">
      <c r="A63" s="11" t="s">
        <v>5</v>
      </c>
      <c r="B63" s="12">
        <v>44295</v>
      </c>
      <c r="C63" s="1" t="s">
        <v>16</v>
      </c>
      <c r="D63" s="1" t="s">
        <v>47</v>
      </c>
      <c r="E63" s="13">
        <v>1</v>
      </c>
      <c r="F63" s="11">
        <f>DAY(Tabela5[[#This Row],[Data]])</f>
        <v>9</v>
      </c>
      <c r="G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4" spans="1:7">
      <c r="A64" s="11" t="s">
        <v>5</v>
      </c>
      <c r="B64" s="12">
        <v>44295</v>
      </c>
      <c r="C64" s="1" t="s">
        <v>16</v>
      </c>
      <c r="D64" s="1" t="s">
        <v>46</v>
      </c>
      <c r="E64" s="13">
        <v>1</v>
      </c>
      <c r="F64" s="11">
        <f>DAY(Tabela5[[#This Row],[Data]])</f>
        <v>9</v>
      </c>
      <c r="G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5" spans="1:7">
      <c r="A65" s="11" t="s">
        <v>5</v>
      </c>
      <c r="B65" s="12">
        <v>44295</v>
      </c>
      <c r="C65" s="1" t="s">
        <v>16</v>
      </c>
      <c r="D65" s="1" t="s">
        <v>47</v>
      </c>
      <c r="E65" s="13">
        <v>1</v>
      </c>
      <c r="F65" s="11">
        <f>DAY(Tabela5[[#This Row],[Data]])</f>
        <v>9</v>
      </c>
      <c r="G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6" spans="1:7">
      <c r="A66" s="11" t="s">
        <v>5</v>
      </c>
      <c r="B66" s="12">
        <v>44298</v>
      </c>
      <c r="C66" s="1" t="s">
        <v>16</v>
      </c>
      <c r="D66" s="1" t="s">
        <v>46</v>
      </c>
      <c r="E66" s="13">
        <v>2</v>
      </c>
      <c r="F66" s="11">
        <f>DAY(Tabela5[[#This Row],[Data]])</f>
        <v>12</v>
      </c>
      <c r="G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7" spans="1:7">
      <c r="A67" s="11" t="s">
        <v>5</v>
      </c>
      <c r="B67" s="12">
        <v>44298</v>
      </c>
      <c r="C67" s="1" t="s">
        <v>16</v>
      </c>
      <c r="D67" s="1" t="s">
        <v>47</v>
      </c>
      <c r="E67" s="13">
        <v>2</v>
      </c>
      <c r="F67" s="11">
        <f>DAY(Tabela5[[#This Row],[Data]])</f>
        <v>12</v>
      </c>
      <c r="G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8" spans="1:7">
      <c r="A68" s="11" t="s">
        <v>5</v>
      </c>
      <c r="B68" s="12">
        <v>44298</v>
      </c>
      <c r="C68" s="1" t="s">
        <v>16</v>
      </c>
      <c r="D68" s="1" t="s">
        <v>46</v>
      </c>
      <c r="E68" s="13">
        <v>2</v>
      </c>
      <c r="F68" s="11">
        <f>DAY(Tabela5[[#This Row],[Data]])</f>
        <v>12</v>
      </c>
      <c r="G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9" spans="1:7">
      <c r="A69" s="11" t="s">
        <v>5</v>
      </c>
      <c r="B69" s="12">
        <v>44299</v>
      </c>
      <c r="C69" s="1" t="s">
        <v>16</v>
      </c>
      <c r="D69" s="1" t="s">
        <v>47</v>
      </c>
      <c r="E69" s="13">
        <v>2</v>
      </c>
      <c r="F69" s="11">
        <f>DAY(Tabela5[[#This Row],[Data]])</f>
        <v>13</v>
      </c>
      <c r="G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0" spans="1:7">
      <c r="A70" s="11" t="s">
        <v>5</v>
      </c>
      <c r="B70" s="12">
        <v>44299</v>
      </c>
      <c r="C70" s="1" t="s">
        <v>16</v>
      </c>
      <c r="D70" s="1" t="s">
        <v>46</v>
      </c>
      <c r="E70" s="13">
        <v>2</v>
      </c>
      <c r="F70" s="11">
        <f>DAY(Tabela5[[#This Row],[Data]])</f>
        <v>13</v>
      </c>
      <c r="G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1" spans="1:7">
      <c r="A71" s="11" t="s">
        <v>5</v>
      </c>
      <c r="B71" s="12">
        <v>44299</v>
      </c>
      <c r="C71" s="1" t="s">
        <v>16</v>
      </c>
      <c r="D71" s="1" t="s">
        <v>47</v>
      </c>
      <c r="E71" s="13">
        <v>2</v>
      </c>
      <c r="F71" s="11">
        <f>DAY(Tabela5[[#This Row],[Data]])</f>
        <v>13</v>
      </c>
      <c r="G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2" spans="1:7">
      <c r="A72" s="11" t="s">
        <v>5</v>
      </c>
      <c r="B72" s="12">
        <v>44300</v>
      </c>
      <c r="C72" s="1" t="s">
        <v>16</v>
      </c>
      <c r="D72" s="1" t="s">
        <v>46</v>
      </c>
      <c r="E72" s="13">
        <v>1</v>
      </c>
      <c r="F72" s="11">
        <f>DAY(Tabela5[[#This Row],[Data]])</f>
        <v>14</v>
      </c>
      <c r="G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73" spans="1:7">
      <c r="A73" s="11" t="s">
        <v>5</v>
      </c>
      <c r="B73" s="12">
        <v>44300</v>
      </c>
      <c r="C73" s="1" t="s">
        <v>16</v>
      </c>
      <c r="D73" s="1" t="s">
        <v>47</v>
      </c>
      <c r="E73" s="13">
        <v>1</v>
      </c>
      <c r="F73" s="11">
        <f>DAY(Tabela5[[#This Row],[Data]])</f>
        <v>14</v>
      </c>
      <c r="G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74" spans="1:7">
      <c r="A74" s="11" t="s">
        <v>5</v>
      </c>
      <c r="B74" s="12">
        <v>44300</v>
      </c>
      <c r="C74" s="1" t="s">
        <v>16</v>
      </c>
      <c r="D74" s="1" t="s">
        <v>46</v>
      </c>
      <c r="E74" s="13">
        <v>1</v>
      </c>
      <c r="F74" s="11">
        <f>DAY(Tabela5[[#This Row],[Data]])</f>
        <v>14</v>
      </c>
      <c r="G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75" spans="1:7">
      <c r="A75" s="11" t="s">
        <v>5</v>
      </c>
      <c r="B75" s="12">
        <v>44301</v>
      </c>
      <c r="C75" s="1" t="s">
        <v>16</v>
      </c>
      <c r="D75" s="1" t="s">
        <v>47</v>
      </c>
      <c r="E75" s="13">
        <v>1</v>
      </c>
      <c r="F75" s="11">
        <f>DAY(Tabela5[[#This Row],[Data]])</f>
        <v>15</v>
      </c>
      <c r="G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6" spans="1:7">
      <c r="A76" s="11" t="s">
        <v>5</v>
      </c>
      <c r="B76" s="12">
        <v>44301</v>
      </c>
      <c r="C76" s="1" t="s">
        <v>16</v>
      </c>
      <c r="D76" s="1" t="s">
        <v>46</v>
      </c>
      <c r="E76" s="13">
        <v>2</v>
      </c>
      <c r="F76" s="11">
        <f>DAY(Tabela5[[#This Row],[Data]])</f>
        <v>15</v>
      </c>
      <c r="G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7" spans="1:7">
      <c r="A77" s="11" t="s">
        <v>5</v>
      </c>
      <c r="B77" s="12">
        <v>44301</v>
      </c>
      <c r="C77" s="1" t="s">
        <v>16</v>
      </c>
      <c r="D77" s="1" t="s">
        <v>47</v>
      </c>
      <c r="E77" s="13">
        <v>2</v>
      </c>
      <c r="F77" s="11">
        <f>DAY(Tabela5[[#This Row],[Data]])</f>
        <v>15</v>
      </c>
      <c r="G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8" spans="1:7">
      <c r="A78" s="11" t="s">
        <v>5</v>
      </c>
      <c r="B78" s="12">
        <v>44302</v>
      </c>
      <c r="C78" s="1" t="s">
        <v>16</v>
      </c>
      <c r="D78" s="1" t="s">
        <v>46</v>
      </c>
      <c r="E78" s="13">
        <v>1</v>
      </c>
      <c r="F78" s="11">
        <f>DAY(Tabela5[[#This Row],[Data]])</f>
        <v>16</v>
      </c>
      <c r="G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9" spans="1:7">
      <c r="A79" s="11" t="s">
        <v>5</v>
      </c>
      <c r="B79" s="12">
        <v>44305</v>
      </c>
      <c r="C79" s="1" t="s">
        <v>16</v>
      </c>
      <c r="D79" s="1" t="s">
        <v>47</v>
      </c>
      <c r="E79" s="13">
        <v>1</v>
      </c>
      <c r="F79" s="11">
        <f>DAY(Tabela5[[#This Row],[Data]])</f>
        <v>19</v>
      </c>
      <c r="G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0" spans="1:7">
      <c r="A80" s="11" t="s">
        <v>5</v>
      </c>
      <c r="B80" s="12">
        <v>44305</v>
      </c>
      <c r="C80" s="1" t="s">
        <v>16</v>
      </c>
      <c r="D80" s="1" t="s">
        <v>46</v>
      </c>
      <c r="E80" s="13">
        <v>2</v>
      </c>
      <c r="F80" s="11">
        <f>DAY(Tabela5[[#This Row],[Data]])</f>
        <v>19</v>
      </c>
      <c r="G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1" spans="1:7">
      <c r="A81" s="11" t="s">
        <v>5</v>
      </c>
      <c r="B81" s="12">
        <v>44305</v>
      </c>
      <c r="C81" s="1" t="s">
        <v>16</v>
      </c>
      <c r="D81" s="1" t="s">
        <v>47</v>
      </c>
      <c r="E81" s="13">
        <v>2</v>
      </c>
      <c r="F81" s="11">
        <f>DAY(Tabela5[[#This Row],[Data]])</f>
        <v>19</v>
      </c>
      <c r="G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2" spans="1:7">
      <c r="A82" s="11" t="s">
        <v>5</v>
      </c>
      <c r="B82" s="12">
        <v>44306</v>
      </c>
      <c r="C82" s="1" t="s">
        <v>16</v>
      </c>
      <c r="D82" s="1" t="s">
        <v>46</v>
      </c>
      <c r="E82" s="13">
        <v>2</v>
      </c>
      <c r="F82" s="11">
        <f>DAY(Tabela5[[#This Row],[Data]])</f>
        <v>20</v>
      </c>
      <c r="G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3" spans="1:7">
      <c r="A83" s="11" t="s">
        <v>5</v>
      </c>
      <c r="B83" s="12">
        <v>44306</v>
      </c>
      <c r="C83" s="1" t="s">
        <v>16</v>
      </c>
      <c r="D83" s="1" t="s">
        <v>47</v>
      </c>
      <c r="E83" s="13">
        <v>1</v>
      </c>
      <c r="F83" s="11">
        <f>DAY(Tabela5[[#This Row],[Data]])</f>
        <v>20</v>
      </c>
      <c r="G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4" spans="1:7">
      <c r="A84" s="11" t="s">
        <v>5</v>
      </c>
      <c r="B84" s="12">
        <v>44306</v>
      </c>
      <c r="C84" s="1" t="s">
        <v>16</v>
      </c>
      <c r="D84" s="1" t="s">
        <v>46</v>
      </c>
      <c r="E84" s="13">
        <v>1</v>
      </c>
      <c r="F84" s="11">
        <f>DAY(Tabela5[[#This Row],[Data]])</f>
        <v>20</v>
      </c>
      <c r="G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5" spans="1:7">
      <c r="A85" s="11" t="s">
        <v>5</v>
      </c>
      <c r="B85" s="12">
        <v>44308</v>
      </c>
      <c r="C85" s="1" t="s">
        <v>16</v>
      </c>
      <c r="D85" s="1" t="s">
        <v>47</v>
      </c>
      <c r="E85" s="13">
        <v>1</v>
      </c>
      <c r="F85" s="11">
        <f>DAY(Tabela5[[#This Row],[Data]])</f>
        <v>22</v>
      </c>
      <c r="G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6" spans="1:7">
      <c r="A86" s="11" t="s">
        <v>5</v>
      </c>
      <c r="B86" s="12">
        <v>44308</v>
      </c>
      <c r="C86" s="1" t="s">
        <v>16</v>
      </c>
      <c r="D86" s="1" t="s">
        <v>46</v>
      </c>
      <c r="E86" s="13">
        <v>2</v>
      </c>
      <c r="F86" s="11">
        <f>DAY(Tabela5[[#This Row],[Data]])</f>
        <v>22</v>
      </c>
      <c r="G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7" spans="1:7">
      <c r="A87" s="11" t="s">
        <v>5</v>
      </c>
      <c r="B87" s="12">
        <v>44308</v>
      </c>
      <c r="C87" s="1" t="s">
        <v>16</v>
      </c>
      <c r="D87" s="1" t="s">
        <v>47</v>
      </c>
      <c r="E87" s="13">
        <v>2</v>
      </c>
      <c r="F87" s="11">
        <f>DAY(Tabela5[[#This Row],[Data]])</f>
        <v>22</v>
      </c>
      <c r="G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8" spans="1:7">
      <c r="A88" s="11" t="s">
        <v>5</v>
      </c>
      <c r="B88" s="12">
        <v>44309</v>
      </c>
      <c r="C88" s="1" t="s">
        <v>16</v>
      </c>
      <c r="D88" s="1" t="s">
        <v>46</v>
      </c>
      <c r="E88" s="13">
        <v>1</v>
      </c>
      <c r="F88" s="11">
        <f>DAY(Tabela5[[#This Row],[Data]])</f>
        <v>23</v>
      </c>
      <c r="G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9" spans="1:7">
      <c r="A89" s="11" t="s">
        <v>5</v>
      </c>
      <c r="B89" s="12">
        <v>44309</v>
      </c>
      <c r="C89" s="1" t="s">
        <v>16</v>
      </c>
      <c r="D89" s="1" t="s">
        <v>47</v>
      </c>
      <c r="E89" s="13">
        <v>2</v>
      </c>
      <c r="F89" s="11">
        <f>DAY(Tabela5[[#This Row],[Data]])</f>
        <v>23</v>
      </c>
      <c r="G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0" spans="1:7">
      <c r="A90" s="11" t="s">
        <v>5</v>
      </c>
      <c r="B90" s="12">
        <v>44309</v>
      </c>
      <c r="C90" s="1" t="s">
        <v>16</v>
      </c>
      <c r="D90" s="1" t="s">
        <v>46</v>
      </c>
      <c r="E90" s="13">
        <v>2</v>
      </c>
      <c r="F90" s="11">
        <f>DAY(Tabela5[[#This Row],[Data]])</f>
        <v>23</v>
      </c>
      <c r="G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1" spans="1:7">
      <c r="A91" s="11" t="s">
        <v>5</v>
      </c>
      <c r="B91" s="12">
        <v>44312</v>
      </c>
      <c r="C91" s="1" t="s">
        <v>16</v>
      </c>
      <c r="D91" s="1" t="s">
        <v>47</v>
      </c>
      <c r="E91" s="13">
        <v>1</v>
      </c>
      <c r="F91" s="11">
        <f>DAY(Tabela5[[#This Row],[Data]])</f>
        <v>26</v>
      </c>
      <c r="G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2" spans="1:7">
      <c r="A92" s="11" t="s">
        <v>5</v>
      </c>
      <c r="B92" s="12">
        <v>44312</v>
      </c>
      <c r="C92" s="1" t="s">
        <v>16</v>
      </c>
      <c r="D92" s="1" t="s">
        <v>46</v>
      </c>
      <c r="E92" s="13">
        <v>1</v>
      </c>
      <c r="F92" s="11">
        <f>DAY(Tabela5[[#This Row],[Data]])</f>
        <v>26</v>
      </c>
      <c r="G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3" spans="1:7">
      <c r="A93" s="11" t="s">
        <v>5</v>
      </c>
      <c r="B93" s="12">
        <v>44312</v>
      </c>
      <c r="C93" s="1" t="s">
        <v>16</v>
      </c>
      <c r="D93" s="1" t="s">
        <v>47</v>
      </c>
      <c r="E93" s="13">
        <v>2</v>
      </c>
      <c r="F93" s="11">
        <f>DAY(Tabela5[[#This Row],[Data]])</f>
        <v>26</v>
      </c>
      <c r="G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4" spans="1:7">
      <c r="A94" s="11" t="s">
        <v>5</v>
      </c>
      <c r="B94" s="12">
        <v>44313</v>
      </c>
      <c r="C94" s="1" t="s">
        <v>16</v>
      </c>
      <c r="D94" s="1" t="s">
        <v>46</v>
      </c>
      <c r="E94" s="13">
        <v>2</v>
      </c>
      <c r="F94" s="11">
        <f>DAY(Tabela5[[#This Row],[Data]])</f>
        <v>27</v>
      </c>
      <c r="G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5" spans="1:7">
      <c r="A95" s="11" t="s">
        <v>5</v>
      </c>
      <c r="B95" s="12">
        <v>44313</v>
      </c>
      <c r="C95" s="1" t="s">
        <v>16</v>
      </c>
      <c r="D95" s="1" t="s">
        <v>47</v>
      </c>
      <c r="E95" s="13">
        <v>1</v>
      </c>
      <c r="F95" s="11">
        <f>DAY(Tabela5[[#This Row],[Data]])</f>
        <v>27</v>
      </c>
      <c r="G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6" spans="1:7">
      <c r="A96" s="11" t="s">
        <v>5</v>
      </c>
      <c r="B96" s="12">
        <v>44313</v>
      </c>
      <c r="C96" s="1" t="s">
        <v>16</v>
      </c>
      <c r="D96" s="1" t="s">
        <v>46</v>
      </c>
      <c r="E96" s="13">
        <v>2</v>
      </c>
      <c r="F96" s="11">
        <f>DAY(Tabela5[[#This Row],[Data]])</f>
        <v>27</v>
      </c>
      <c r="G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7" spans="1:7">
      <c r="A97" s="11" t="s">
        <v>5</v>
      </c>
      <c r="B97" s="12">
        <v>44314</v>
      </c>
      <c r="C97" s="1" t="s">
        <v>16</v>
      </c>
      <c r="D97" s="1" t="s">
        <v>47</v>
      </c>
      <c r="E97" s="13">
        <v>2</v>
      </c>
      <c r="F97" s="11">
        <f>DAY(Tabela5[[#This Row],[Data]])</f>
        <v>28</v>
      </c>
      <c r="G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8" spans="1:7">
      <c r="A98" s="11" t="s">
        <v>5</v>
      </c>
      <c r="B98" s="12">
        <v>44314</v>
      </c>
      <c r="C98" s="1" t="s">
        <v>16</v>
      </c>
      <c r="D98" s="1" t="s">
        <v>46</v>
      </c>
      <c r="E98" s="13">
        <v>2</v>
      </c>
      <c r="F98" s="11">
        <f>DAY(Tabela5[[#This Row],[Data]])</f>
        <v>28</v>
      </c>
      <c r="G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9" spans="1:7">
      <c r="A99" s="11" t="s">
        <v>5</v>
      </c>
      <c r="B99" s="12">
        <v>44314</v>
      </c>
      <c r="C99" s="1" t="s">
        <v>16</v>
      </c>
      <c r="D99" s="1" t="s">
        <v>47</v>
      </c>
      <c r="E99" s="13">
        <v>1</v>
      </c>
      <c r="F99" s="11">
        <f>DAY(Tabela5[[#This Row],[Data]])</f>
        <v>28</v>
      </c>
      <c r="G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0" spans="1:7">
      <c r="A100" s="11" t="s">
        <v>5</v>
      </c>
      <c r="B100" s="12">
        <v>44315</v>
      </c>
      <c r="C100" s="1" t="s">
        <v>16</v>
      </c>
      <c r="D100" s="1" t="s">
        <v>46</v>
      </c>
      <c r="E100" s="13">
        <v>1</v>
      </c>
      <c r="F100" s="11">
        <f>DAY(Tabela5[[#This Row],[Data]])</f>
        <v>29</v>
      </c>
      <c r="G1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1" spans="1:7">
      <c r="A101" s="11" t="s">
        <v>5</v>
      </c>
      <c r="B101" s="12">
        <v>44315</v>
      </c>
      <c r="C101" s="1" t="s">
        <v>16</v>
      </c>
      <c r="D101" s="1" t="s">
        <v>47</v>
      </c>
      <c r="E101" s="13">
        <v>1</v>
      </c>
      <c r="F101" s="11">
        <f>DAY(Tabela5[[#This Row],[Data]])</f>
        <v>29</v>
      </c>
      <c r="G1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2" spans="1:7">
      <c r="A102" s="11" t="s">
        <v>5</v>
      </c>
      <c r="B102" s="12">
        <v>44315</v>
      </c>
      <c r="C102" s="1" t="s">
        <v>16</v>
      </c>
      <c r="D102" s="1" t="s">
        <v>46</v>
      </c>
      <c r="E102" s="13">
        <v>1</v>
      </c>
      <c r="F102" s="11">
        <f>DAY(Tabela5[[#This Row],[Data]])</f>
        <v>29</v>
      </c>
      <c r="G1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3" spans="1:7">
      <c r="A103" s="11" t="s">
        <v>5</v>
      </c>
      <c r="B103" s="12">
        <v>44316</v>
      </c>
      <c r="C103" s="1" t="s">
        <v>16</v>
      </c>
      <c r="D103" s="1" t="s">
        <v>47</v>
      </c>
      <c r="E103" s="13">
        <v>1</v>
      </c>
      <c r="F103" s="11">
        <f>DAY(Tabela5[[#This Row],[Data]])</f>
        <v>30</v>
      </c>
      <c r="G1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4" spans="1:7">
      <c r="A104" s="11" t="s">
        <v>5</v>
      </c>
      <c r="B104" s="12">
        <v>44316</v>
      </c>
      <c r="C104" s="1" t="s">
        <v>16</v>
      </c>
      <c r="D104" s="1" t="s">
        <v>46</v>
      </c>
      <c r="E104" s="13">
        <v>2</v>
      </c>
      <c r="F104" s="11">
        <f>DAY(Tabela5[[#This Row],[Data]])</f>
        <v>30</v>
      </c>
      <c r="G1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5" spans="1:7">
      <c r="A105" s="11" t="s">
        <v>5</v>
      </c>
      <c r="B105" s="12">
        <v>44316</v>
      </c>
      <c r="C105" s="1" t="s">
        <v>16</v>
      </c>
      <c r="D105" s="1" t="s">
        <v>47</v>
      </c>
      <c r="E105" s="13">
        <v>1</v>
      </c>
      <c r="F105" s="11">
        <f>DAY(Tabela5[[#This Row],[Data]])</f>
        <v>30</v>
      </c>
      <c r="G1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6" spans="1:7">
      <c r="A106" s="11" t="s">
        <v>5</v>
      </c>
      <c r="B106" s="12">
        <v>44316</v>
      </c>
      <c r="C106" s="1" t="s">
        <v>16</v>
      </c>
      <c r="D106" s="1" t="s">
        <v>46</v>
      </c>
      <c r="E106" s="13">
        <v>1</v>
      </c>
      <c r="F106" s="11">
        <f>DAY(Tabela5[[#This Row],[Data]])</f>
        <v>30</v>
      </c>
      <c r="G1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7" spans="1:7">
      <c r="A107" s="11" t="s">
        <v>5</v>
      </c>
      <c r="B107" s="12">
        <v>44287</v>
      </c>
      <c r="C107" s="1" t="s">
        <v>21</v>
      </c>
      <c r="D107" s="1" t="s">
        <v>47</v>
      </c>
      <c r="E107" s="13">
        <v>1</v>
      </c>
      <c r="F107" s="11">
        <f>DAY(Tabela5[[#This Row],[Data]])</f>
        <v>1</v>
      </c>
      <c r="G1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8" spans="1:7">
      <c r="A108" s="11" t="s">
        <v>5</v>
      </c>
      <c r="B108" s="12">
        <v>44291</v>
      </c>
      <c r="C108" s="1" t="s">
        <v>21</v>
      </c>
      <c r="D108" s="1" t="s">
        <v>46</v>
      </c>
      <c r="E108" s="13">
        <v>2</v>
      </c>
      <c r="F108" s="11">
        <f>DAY(Tabela5[[#This Row],[Data]])</f>
        <v>5</v>
      </c>
      <c r="G1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9" spans="1:7">
      <c r="A109" s="11" t="s">
        <v>5</v>
      </c>
      <c r="B109" s="12">
        <v>44292</v>
      </c>
      <c r="C109" s="1" t="s">
        <v>21</v>
      </c>
      <c r="D109" s="1" t="s">
        <v>47</v>
      </c>
      <c r="E109" s="13">
        <v>2</v>
      </c>
      <c r="F109" s="11">
        <f>DAY(Tabela5[[#This Row],[Data]])</f>
        <v>6</v>
      </c>
      <c r="G1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0" spans="1:7">
      <c r="A110" s="11" t="s">
        <v>5</v>
      </c>
      <c r="B110" s="12">
        <v>44293</v>
      </c>
      <c r="C110" s="1" t="s">
        <v>21</v>
      </c>
      <c r="D110" s="1" t="s">
        <v>46</v>
      </c>
      <c r="E110" s="13">
        <v>2</v>
      </c>
      <c r="F110" s="11">
        <f>DAY(Tabela5[[#This Row],[Data]])</f>
        <v>7</v>
      </c>
      <c r="G1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1" spans="1:7">
      <c r="A111" s="11" t="s">
        <v>5</v>
      </c>
      <c r="B111" s="12">
        <v>44294</v>
      </c>
      <c r="C111" s="1" t="s">
        <v>21</v>
      </c>
      <c r="D111" s="1" t="s">
        <v>47</v>
      </c>
      <c r="E111" s="13">
        <v>2</v>
      </c>
      <c r="F111" s="11">
        <f>DAY(Tabela5[[#This Row],[Data]])</f>
        <v>8</v>
      </c>
      <c r="G1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2" spans="1:7">
      <c r="A112" s="11" t="s">
        <v>5</v>
      </c>
      <c r="B112" s="12">
        <v>44295</v>
      </c>
      <c r="C112" s="1" t="s">
        <v>21</v>
      </c>
      <c r="D112" s="1" t="s">
        <v>46</v>
      </c>
      <c r="E112" s="13">
        <v>1</v>
      </c>
      <c r="F112" s="11">
        <f>DAY(Tabela5[[#This Row],[Data]])</f>
        <v>9</v>
      </c>
      <c r="G1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3" spans="1:7">
      <c r="A113" s="11" t="s">
        <v>5</v>
      </c>
      <c r="B113" s="12">
        <v>44298</v>
      </c>
      <c r="C113" s="1" t="s">
        <v>21</v>
      </c>
      <c r="D113" s="1" t="s">
        <v>47</v>
      </c>
      <c r="E113" s="13">
        <v>1</v>
      </c>
      <c r="F113" s="11">
        <f>DAY(Tabela5[[#This Row],[Data]])</f>
        <v>12</v>
      </c>
      <c r="G1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4" spans="1:7">
      <c r="A114" s="11" t="s">
        <v>5</v>
      </c>
      <c r="B114" s="12">
        <v>44299</v>
      </c>
      <c r="C114" s="1" t="s">
        <v>21</v>
      </c>
      <c r="D114" s="1" t="s">
        <v>46</v>
      </c>
      <c r="E114" s="13">
        <v>2</v>
      </c>
      <c r="F114" s="11">
        <f>DAY(Tabela5[[#This Row],[Data]])</f>
        <v>13</v>
      </c>
      <c r="G1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5" spans="1:7">
      <c r="A115" s="11" t="s">
        <v>5</v>
      </c>
      <c r="B115" s="12">
        <v>44300</v>
      </c>
      <c r="C115" s="1" t="s">
        <v>21</v>
      </c>
      <c r="D115" s="1" t="s">
        <v>47</v>
      </c>
      <c r="E115" s="13">
        <v>2</v>
      </c>
      <c r="F115" s="11">
        <f>DAY(Tabela5[[#This Row],[Data]])</f>
        <v>14</v>
      </c>
      <c r="G1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6" spans="1:7">
      <c r="A116" s="11" t="s">
        <v>5</v>
      </c>
      <c r="B116" s="12">
        <v>44301</v>
      </c>
      <c r="C116" s="1" t="s">
        <v>21</v>
      </c>
      <c r="D116" s="1" t="s">
        <v>46</v>
      </c>
      <c r="E116" s="13">
        <v>2</v>
      </c>
      <c r="F116" s="11">
        <f>DAY(Tabela5[[#This Row],[Data]])</f>
        <v>15</v>
      </c>
      <c r="G1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7" spans="1:7">
      <c r="A117" s="11" t="s">
        <v>5</v>
      </c>
      <c r="B117" s="12">
        <v>44302</v>
      </c>
      <c r="C117" s="1" t="s">
        <v>21</v>
      </c>
      <c r="D117" s="1" t="s">
        <v>47</v>
      </c>
      <c r="E117" s="13">
        <v>1</v>
      </c>
      <c r="F117" s="11">
        <f>DAY(Tabela5[[#This Row],[Data]])</f>
        <v>16</v>
      </c>
      <c r="G1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8" spans="1:7">
      <c r="A118" s="11" t="s">
        <v>5</v>
      </c>
      <c r="B118" s="12">
        <v>44305</v>
      </c>
      <c r="C118" s="1" t="s">
        <v>21</v>
      </c>
      <c r="D118" s="1" t="s">
        <v>46</v>
      </c>
      <c r="E118" s="13">
        <v>1</v>
      </c>
      <c r="F118" s="11">
        <f>DAY(Tabela5[[#This Row],[Data]])</f>
        <v>19</v>
      </c>
      <c r="G1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9" spans="1:7">
      <c r="A119" s="11" t="s">
        <v>5</v>
      </c>
      <c r="B119" s="12">
        <v>44308</v>
      </c>
      <c r="C119" s="1" t="s">
        <v>21</v>
      </c>
      <c r="D119" s="1" t="s">
        <v>47</v>
      </c>
      <c r="E119" s="13">
        <v>2</v>
      </c>
      <c r="F119" s="11">
        <f>DAY(Tabela5[[#This Row],[Data]])</f>
        <v>22</v>
      </c>
      <c r="G1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20" spans="1:7">
      <c r="A120" s="11" t="s">
        <v>5</v>
      </c>
      <c r="B120" s="12">
        <v>44309</v>
      </c>
      <c r="C120" s="1" t="s">
        <v>21</v>
      </c>
      <c r="D120" s="1" t="s">
        <v>46</v>
      </c>
      <c r="E120" s="13">
        <v>1</v>
      </c>
      <c r="F120" s="11">
        <f>DAY(Tabela5[[#This Row],[Data]])</f>
        <v>23</v>
      </c>
      <c r="G1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21" spans="1:7">
      <c r="A121" s="11" t="s">
        <v>5</v>
      </c>
      <c r="B121" s="12">
        <v>44312</v>
      </c>
      <c r="C121" s="1" t="s">
        <v>21</v>
      </c>
      <c r="D121" s="1" t="s">
        <v>47</v>
      </c>
      <c r="E121" s="13">
        <v>1</v>
      </c>
      <c r="F121" s="11">
        <f>DAY(Tabela5[[#This Row],[Data]])</f>
        <v>26</v>
      </c>
      <c r="G1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22" spans="1:7">
      <c r="A122" s="11" t="s">
        <v>5</v>
      </c>
      <c r="B122" s="12">
        <v>44313</v>
      </c>
      <c r="C122" s="1" t="s">
        <v>21</v>
      </c>
      <c r="D122" s="1" t="s">
        <v>46</v>
      </c>
      <c r="E122" s="13">
        <v>2</v>
      </c>
      <c r="F122" s="11">
        <f>DAY(Tabela5[[#This Row],[Data]])</f>
        <v>27</v>
      </c>
      <c r="G1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23" spans="1:7">
      <c r="A123" s="11" t="s">
        <v>5</v>
      </c>
      <c r="B123" s="12">
        <v>44314</v>
      </c>
      <c r="C123" s="1" t="s">
        <v>21</v>
      </c>
      <c r="D123" s="1" t="s">
        <v>47</v>
      </c>
      <c r="E123" s="13">
        <v>2</v>
      </c>
      <c r="F123" s="11">
        <f>DAY(Tabela5[[#This Row],[Data]])</f>
        <v>28</v>
      </c>
      <c r="G1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24" spans="1:7">
      <c r="A124" s="11" t="s">
        <v>5</v>
      </c>
      <c r="B124" s="12">
        <v>44315</v>
      </c>
      <c r="C124" s="1" t="s">
        <v>21</v>
      </c>
      <c r="D124" s="1" t="s">
        <v>46</v>
      </c>
      <c r="E124" s="13">
        <v>2</v>
      </c>
      <c r="F124" s="11">
        <f>DAY(Tabela5[[#This Row],[Data]])</f>
        <v>29</v>
      </c>
      <c r="G1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25" spans="1:7">
      <c r="A125" s="11" t="s">
        <v>5</v>
      </c>
      <c r="B125" s="12">
        <v>44316</v>
      </c>
      <c r="C125" s="1" t="s">
        <v>21</v>
      </c>
      <c r="D125" s="1" t="s">
        <v>47</v>
      </c>
      <c r="E125" s="13">
        <v>1</v>
      </c>
      <c r="F125" s="11">
        <f>DAY(Tabela5[[#This Row],[Data]])</f>
        <v>30</v>
      </c>
      <c r="G1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26" spans="1:7">
      <c r="A126" s="11" t="s">
        <v>5</v>
      </c>
      <c r="B126" s="12">
        <v>44287</v>
      </c>
      <c r="C126" s="1" t="s">
        <v>8</v>
      </c>
      <c r="D126" s="1" t="s">
        <v>46</v>
      </c>
      <c r="E126" s="13">
        <v>2</v>
      </c>
      <c r="F126" s="11">
        <f>DAY(Tabela5[[#This Row],[Data]])</f>
        <v>1</v>
      </c>
      <c r="G1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27" spans="1:7">
      <c r="A127" s="11" t="s">
        <v>5</v>
      </c>
      <c r="B127" s="12">
        <v>44291</v>
      </c>
      <c r="C127" s="1" t="s">
        <v>8</v>
      </c>
      <c r="D127" s="1" t="s">
        <v>47</v>
      </c>
      <c r="E127" s="13">
        <v>2</v>
      </c>
      <c r="F127" s="11">
        <f>DAY(Tabela5[[#This Row],[Data]])</f>
        <v>5</v>
      </c>
      <c r="G1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28" spans="1:7">
      <c r="A128" s="11" t="s">
        <v>5</v>
      </c>
      <c r="B128" s="12">
        <v>44291</v>
      </c>
      <c r="C128" s="1" t="s">
        <v>8</v>
      </c>
      <c r="D128" s="1" t="s">
        <v>46</v>
      </c>
      <c r="E128" s="13">
        <v>2</v>
      </c>
      <c r="F128" s="11">
        <f>DAY(Tabela5[[#This Row],[Data]])</f>
        <v>5</v>
      </c>
      <c r="G1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29" spans="1:7">
      <c r="A129" s="11" t="s">
        <v>5</v>
      </c>
      <c r="B129" s="12">
        <v>44292</v>
      </c>
      <c r="C129" s="1" t="s">
        <v>8</v>
      </c>
      <c r="D129" s="1" t="s">
        <v>47</v>
      </c>
      <c r="E129" s="13">
        <v>2</v>
      </c>
      <c r="F129" s="11">
        <f>DAY(Tabela5[[#This Row],[Data]])</f>
        <v>6</v>
      </c>
      <c r="G1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30" spans="1:7">
      <c r="A130" s="11" t="s">
        <v>5</v>
      </c>
      <c r="B130" s="12">
        <v>44292</v>
      </c>
      <c r="C130" s="1" t="s">
        <v>8</v>
      </c>
      <c r="D130" s="1" t="s">
        <v>46</v>
      </c>
      <c r="E130" s="13">
        <v>2</v>
      </c>
      <c r="F130" s="11">
        <f>DAY(Tabela5[[#This Row],[Data]])</f>
        <v>6</v>
      </c>
      <c r="G1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31" spans="1:7">
      <c r="A131" s="11" t="s">
        <v>5</v>
      </c>
      <c r="B131" s="12">
        <v>44293</v>
      </c>
      <c r="C131" s="1" t="s">
        <v>8</v>
      </c>
      <c r="D131" s="1" t="s">
        <v>47</v>
      </c>
      <c r="E131" s="13">
        <v>2</v>
      </c>
      <c r="F131" s="11">
        <f>DAY(Tabela5[[#This Row],[Data]])</f>
        <v>7</v>
      </c>
      <c r="G1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32" spans="1:7">
      <c r="A132" s="11" t="s">
        <v>5</v>
      </c>
      <c r="B132" s="12">
        <v>44293</v>
      </c>
      <c r="C132" s="1" t="s">
        <v>8</v>
      </c>
      <c r="D132" s="1" t="s">
        <v>46</v>
      </c>
      <c r="E132" s="13">
        <v>2</v>
      </c>
      <c r="F132" s="11">
        <f>DAY(Tabela5[[#This Row],[Data]])</f>
        <v>7</v>
      </c>
      <c r="G1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33" spans="1:7">
      <c r="A133" s="11" t="s">
        <v>5</v>
      </c>
      <c r="B133" s="12">
        <v>44293</v>
      </c>
      <c r="C133" s="1" t="s">
        <v>8</v>
      </c>
      <c r="D133" s="1" t="s">
        <v>47</v>
      </c>
      <c r="E133" s="13">
        <v>1</v>
      </c>
      <c r="F133" s="11">
        <f>DAY(Tabela5[[#This Row],[Data]])</f>
        <v>7</v>
      </c>
      <c r="G1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34" spans="1:7">
      <c r="A134" s="11" t="s">
        <v>5</v>
      </c>
      <c r="B134" s="12">
        <v>44294</v>
      </c>
      <c r="C134" s="1" t="s">
        <v>8</v>
      </c>
      <c r="D134" s="1" t="s">
        <v>46</v>
      </c>
      <c r="E134" s="13">
        <v>1</v>
      </c>
      <c r="F134" s="11">
        <f>DAY(Tabela5[[#This Row],[Data]])</f>
        <v>8</v>
      </c>
      <c r="G1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35" spans="1:7">
      <c r="A135" s="11" t="s">
        <v>5</v>
      </c>
      <c r="B135" s="12">
        <v>44294</v>
      </c>
      <c r="C135" s="1" t="s">
        <v>8</v>
      </c>
      <c r="D135" s="1" t="s">
        <v>47</v>
      </c>
      <c r="E135" s="13">
        <v>1</v>
      </c>
      <c r="F135" s="11">
        <f>DAY(Tabela5[[#This Row],[Data]])</f>
        <v>8</v>
      </c>
      <c r="G1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36" spans="1:7">
      <c r="A136" s="11" t="s">
        <v>5</v>
      </c>
      <c r="B136" s="12">
        <v>44294</v>
      </c>
      <c r="C136" s="1" t="s">
        <v>8</v>
      </c>
      <c r="D136" s="1" t="s">
        <v>46</v>
      </c>
      <c r="E136" s="13">
        <v>1</v>
      </c>
      <c r="F136" s="11">
        <f>DAY(Tabela5[[#This Row],[Data]])</f>
        <v>8</v>
      </c>
      <c r="G1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37" spans="1:7">
      <c r="A137" s="11" t="s">
        <v>5</v>
      </c>
      <c r="B137" s="12">
        <v>44295</v>
      </c>
      <c r="C137" s="1" t="s">
        <v>8</v>
      </c>
      <c r="D137" s="1" t="s">
        <v>47</v>
      </c>
      <c r="E137" s="13">
        <v>2</v>
      </c>
      <c r="F137" s="11">
        <f>DAY(Tabela5[[#This Row],[Data]])</f>
        <v>9</v>
      </c>
      <c r="G1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38" spans="1:7">
      <c r="A138" s="11" t="s">
        <v>5</v>
      </c>
      <c r="B138" s="12">
        <v>44295</v>
      </c>
      <c r="C138" s="1" t="s">
        <v>8</v>
      </c>
      <c r="D138" s="1" t="s">
        <v>46</v>
      </c>
      <c r="E138" s="13">
        <v>1</v>
      </c>
      <c r="F138" s="11">
        <f>DAY(Tabela5[[#This Row],[Data]])</f>
        <v>9</v>
      </c>
      <c r="G1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39" spans="1:7">
      <c r="A139" s="11" t="s">
        <v>5</v>
      </c>
      <c r="B139" s="12">
        <v>44295</v>
      </c>
      <c r="C139" s="1" t="s">
        <v>8</v>
      </c>
      <c r="D139" s="1" t="s">
        <v>47</v>
      </c>
      <c r="E139" s="13">
        <v>2</v>
      </c>
      <c r="F139" s="11">
        <f>DAY(Tabela5[[#This Row],[Data]])</f>
        <v>9</v>
      </c>
      <c r="G1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40" spans="1:7">
      <c r="A140" s="11" t="s">
        <v>5</v>
      </c>
      <c r="B140" s="12">
        <v>44298</v>
      </c>
      <c r="C140" s="1" t="s">
        <v>8</v>
      </c>
      <c r="D140" s="1" t="s">
        <v>46</v>
      </c>
      <c r="E140" s="13">
        <v>2</v>
      </c>
      <c r="F140" s="11">
        <f>DAY(Tabela5[[#This Row],[Data]])</f>
        <v>12</v>
      </c>
      <c r="G1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41" spans="1:7">
      <c r="A141" s="11" t="s">
        <v>5</v>
      </c>
      <c r="B141" s="12">
        <v>44298</v>
      </c>
      <c r="C141" s="1" t="s">
        <v>8</v>
      </c>
      <c r="D141" s="1" t="s">
        <v>47</v>
      </c>
      <c r="E141" s="13">
        <v>1</v>
      </c>
      <c r="F141" s="11">
        <f>DAY(Tabela5[[#This Row],[Data]])</f>
        <v>12</v>
      </c>
      <c r="G1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42" spans="1:7">
      <c r="A142" s="11" t="s">
        <v>5</v>
      </c>
      <c r="B142" s="12">
        <v>44298</v>
      </c>
      <c r="C142" s="1" t="s">
        <v>8</v>
      </c>
      <c r="D142" s="1" t="s">
        <v>46</v>
      </c>
      <c r="E142" s="13">
        <v>1</v>
      </c>
      <c r="F142" s="11">
        <f>DAY(Tabela5[[#This Row],[Data]])</f>
        <v>12</v>
      </c>
      <c r="G1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43" spans="1:7">
      <c r="A143" s="11" t="s">
        <v>5</v>
      </c>
      <c r="B143" s="12">
        <v>44299</v>
      </c>
      <c r="C143" s="1" t="s">
        <v>8</v>
      </c>
      <c r="D143" s="1" t="s">
        <v>47</v>
      </c>
      <c r="E143" s="13">
        <v>2</v>
      </c>
      <c r="F143" s="11">
        <f>DAY(Tabela5[[#This Row],[Data]])</f>
        <v>13</v>
      </c>
      <c r="G1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44" spans="1:7">
      <c r="A144" s="11" t="s">
        <v>5</v>
      </c>
      <c r="B144" s="12">
        <v>44299</v>
      </c>
      <c r="C144" s="1" t="s">
        <v>8</v>
      </c>
      <c r="D144" s="1" t="s">
        <v>46</v>
      </c>
      <c r="E144" s="13">
        <v>2</v>
      </c>
      <c r="F144" s="11">
        <f>DAY(Tabela5[[#This Row],[Data]])</f>
        <v>13</v>
      </c>
      <c r="G1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45" spans="1:7">
      <c r="A145" s="11" t="s">
        <v>5</v>
      </c>
      <c r="B145" s="12">
        <v>44299</v>
      </c>
      <c r="C145" s="1" t="s">
        <v>8</v>
      </c>
      <c r="D145" s="1" t="s">
        <v>47</v>
      </c>
      <c r="E145" s="13">
        <v>2</v>
      </c>
      <c r="F145" s="11">
        <f>DAY(Tabela5[[#This Row],[Data]])</f>
        <v>13</v>
      </c>
      <c r="G1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46" spans="1:7">
      <c r="A146" s="11" t="s">
        <v>5</v>
      </c>
      <c r="B146" s="12">
        <v>44300</v>
      </c>
      <c r="C146" s="1" t="s">
        <v>8</v>
      </c>
      <c r="D146" s="1" t="s">
        <v>46</v>
      </c>
      <c r="E146" s="13">
        <v>2</v>
      </c>
      <c r="F146" s="11">
        <f>DAY(Tabela5[[#This Row],[Data]])</f>
        <v>14</v>
      </c>
      <c r="G1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47" spans="1:7">
      <c r="A147" s="11" t="s">
        <v>5</v>
      </c>
      <c r="B147" s="12">
        <v>44300</v>
      </c>
      <c r="C147" s="1" t="s">
        <v>8</v>
      </c>
      <c r="D147" s="1" t="s">
        <v>47</v>
      </c>
      <c r="E147" s="13">
        <v>1</v>
      </c>
      <c r="F147" s="11">
        <f>DAY(Tabela5[[#This Row],[Data]])</f>
        <v>14</v>
      </c>
      <c r="G1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48" spans="1:7">
      <c r="A148" s="11" t="s">
        <v>5</v>
      </c>
      <c r="B148" s="12">
        <v>44300</v>
      </c>
      <c r="C148" s="1" t="s">
        <v>8</v>
      </c>
      <c r="D148" s="1" t="s">
        <v>46</v>
      </c>
      <c r="E148" s="13">
        <v>2</v>
      </c>
      <c r="F148" s="11">
        <f>DAY(Tabela5[[#This Row],[Data]])</f>
        <v>14</v>
      </c>
      <c r="G1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49" spans="1:7">
      <c r="A149" s="11" t="s">
        <v>5</v>
      </c>
      <c r="B149" s="12">
        <v>44301</v>
      </c>
      <c r="C149" s="1" t="s">
        <v>8</v>
      </c>
      <c r="D149" s="1" t="s">
        <v>47</v>
      </c>
      <c r="E149" s="13">
        <v>1</v>
      </c>
      <c r="F149" s="11">
        <f>DAY(Tabela5[[#This Row],[Data]])</f>
        <v>15</v>
      </c>
      <c r="G1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50" spans="1:7">
      <c r="A150" s="11" t="s">
        <v>5</v>
      </c>
      <c r="B150" s="12">
        <v>44301</v>
      </c>
      <c r="C150" s="1" t="s">
        <v>8</v>
      </c>
      <c r="D150" s="1" t="s">
        <v>46</v>
      </c>
      <c r="E150" s="13">
        <v>1</v>
      </c>
      <c r="F150" s="11">
        <f>DAY(Tabela5[[#This Row],[Data]])</f>
        <v>15</v>
      </c>
      <c r="G1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51" spans="1:7">
      <c r="A151" s="11" t="s">
        <v>5</v>
      </c>
      <c r="B151" s="12">
        <v>44301</v>
      </c>
      <c r="C151" s="1" t="s">
        <v>8</v>
      </c>
      <c r="D151" s="1" t="s">
        <v>47</v>
      </c>
      <c r="E151" s="13">
        <v>2</v>
      </c>
      <c r="F151" s="11">
        <f>DAY(Tabela5[[#This Row],[Data]])</f>
        <v>15</v>
      </c>
      <c r="G1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52" spans="1:7">
      <c r="A152" s="11" t="s">
        <v>5</v>
      </c>
      <c r="B152" s="12">
        <v>44302</v>
      </c>
      <c r="C152" s="1" t="s">
        <v>8</v>
      </c>
      <c r="D152" s="1" t="s">
        <v>46</v>
      </c>
      <c r="E152" s="13">
        <v>2</v>
      </c>
      <c r="F152" s="11">
        <f>DAY(Tabela5[[#This Row],[Data]])</f>
        <v>16</v>
      </c>
      <c r="G1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53" spans="1:7">
      <c r="A153" s="11" t="s">
        <v>5</v>
      </c>
      <c r="B153" s="12">
        <v>44302</v>
      </c>
      <c r="C153" s="1" t="s">
        <v>8</v>
      </c>
      <c r="D153" s="1" t="s">
        <v>47</v>
      </c>
      <c r="E153" s="13">
        <v>2</v>
      </c>
      <c r="F153" s="11">
        <f>DAY(Tabela5[[#This Row],[Data]])</f>
        <v>16</v>
      </c>
      <c r="G1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54" spans="1:7">
      <c r="A154" s="11" t="s">
        <v>5</v>
      </c>
      <c r="B154" s="12">
        <v>44305</v>
      </c>
      <c r="C154" s="1" t="s">
        <v>8</v>
      </c>
      <c r="D154" s="1" t="s">
        <v>46</v>
      </c>
      <c r="E154" s="13">
        <v>1</v>
      </c>
      <c r="F154" s="11">
        <f>DAY(Tabela5[[#This Row],[Data]])</f>
        <v>19</v>
      </c>
      <c r="G1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55" spans="1:7">
      <c r="A155" s="11" t="s">
        <v>5</v>
      </c>
      <c r="B155" s="12">
        <v>44305</v>
      </c>
      <c r="C155" s="1" t="s">
        <v>8</v>
      </c>
      <c r="D155" s="1" t="s">
        <v>47</v>
      </c>
      <c r="E155" s="13">
        <v>2</v>
      </c>
      <c r="F155" s="11">
        <f>DAY(Tabela5[[#This Row],[Data]])</f>
        <v>19</v>
      </c>
      <c r="G1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56" spans="1:7">
      <c r="A156" s="11" t="s">
        <v>5</v>
      </c>
      <c r="B156" s="12">
        <v>44305</v>
      </c>
      <c r="C156" s="1" t="s">
        <v>8</v>
      </c>
      <c r="D156" s="1" t="s">
        <v>46</v>
      </c>
      <c r="E156" s="13">
        <v>1</v>
      </c>
      <c r="F156" s="11">
        <f>DAY(Tabela5[[#This Row],[Data]])</f>
        <v>19</v>
      </c>
      <c r="G1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57" spans="1:7">
      <c r="A157" s="11" t="s">
        <v>5</v>
      </c>
      <c r="B157" s="12">
        <v>44306</v>
      </c>
      <c r="C157" s="1" t="s">
        <v>8</v>
      </c>
      <c r="D157" s="1" t="s">
        <v>47</v>
      </c>
      <c r="E157" s="13">
        <v>1</v>
      </c>
      <c r="F157" s="11">
        <f>DAY(Tabela5[[#This Row],[Data]])</f>
        <v>20</v>
      </c>
      <c r="G1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58" spans="1:7">
      <c r="A158" s="11" t="s">
        <v>5</v>
      </c>
      <c r="B158" s="12">
        <v>44306</v>
      </c>
      <c r="C158" s="1" t="s">
        <v>8</v>
      </c>
      <c r="D158" s="1" t="s">
        <v>46</v>
      </c>
      <c r="E158" s="13">
        <v>1</v>
      </c>
      <c r="F158" s="11">
        <f>DAY(Tabela5[[#This Row],[Data]])</f>
        <v>20</v>
      </c>
      <c r="G1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59" spans="1:7">
      <c r="A159" s="11" t="s">
        <v>5</v>
      </c>
      <c r="B159" s="12">
        <v>44306</v>
      </c>
      <c r="C159" s="1" t="s">
        <v>8</v>
      </c>
      <c r="D159" s="1" t="s">
        <v>47</v>
      </c>
      <c r="E159" s="13">
        <v>1</v>
      </c>
      <c r="F159" s="11">
        <f>DAY(Tabela5[[#This Row],[Data]])</f>
        <v>20</v>
      </c>
      <c r="G1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60" spans="1:7">
      <c r="A160" s="11" t="s">
        <v>5</v>
      </c>
      <c r="B160" s="12">
        <v>44308</v>
      </c>
      <c r="C160" s="1" t="s">
        <v>8</v>
      </c>
      <c r="D160" s="1" t="s">
        <v>46</v>
      </c>
      <c r="E160" s="13">
        <v>1</v>
      </c>
      <c r="F160" s="11">
        <f>DAY(Tabela5[[#This Row],[Data]])</f>
        <v>22</v>
      </c>
      <c r="G1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61" spans="1:7">
      <c r="A161" s="11" t="s">
        <v>5</v>
      </c>
      <c r="B161" s="12">
        <v>44309</v>
      </c>
      <c r="C161" s="1" t="s">
        <v>8</v>
      </c>
      <c r="D161" s="1" t="s">
        <v>47</v>
      </c>
      <c r="E161" s="13">
        <v>2</v>
      </c>
      <c r="F161" s="11">
        <f>DAY(Tabela5[[#This Row],[Data]])</f>
        <v>23</v>
      </c>
      <c r="G1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62" spans="1:7">
      <c r="A162" s="11" t="s">
        <v>5</v>
      </c>
      <c r="B162" s="12">
        <v>44312</v>
      </c>
      <c r="C162" s="1" t="s">
        <v>8</v>
      </c>
      <c r="D162" s="1" t="s">
        <v>46</v>
      </c>
      <c r="E162" s="13">
        <v>2</v>
      </c>
      <c r="F162" s="11">
        <f>DAY(Tabela5[[#This Row],[Data]])</f>
        <v>26</v>
      </c>
      <c r="G1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63" spans="1:7">
      <c r="A163" s="11" t="s">
        <v>5</v>
      </c>
      <c r="B163" s="12">
        <v>44312</v>
      </c>
      <c r="C163" s="1" t="s">
        <v>8</v>
      </c>
      <c r="D163" s="1" t="s">
        <v>47</v>
      </c>
      <c r="E163" s="13">
        <v>2</v>
      </c>
      <c r="F163" s="11">
        <f>DAY(Tabela5[[#This Row],[Data]])</f>
        <v>26</v>
      </c>
      <c r="G1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64" spans="1:7">
      <c r="A164" s="11" t="s">
        <v>5</v>
      </c>
      <c r="B164" s="12">
        <v>44313</v>
      </c>
      <c r="C164" s="1" t="s">
        <v>8</v>
      </c>
      <c r="D164" s="1" t="s">
        <v>46</v>
      </c>
      <c r="E164" s="13">
        <v>1</v>
      </c>
      <c r="F164" s="11">
        <f>DAY(Tabela5[[#This Row],[Data]])</f>
        <v>27</v>
      </c>
      <c r="G1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65" spans="1:7">
      <c r="A165" s="11" t="s">
        <v>5</v>
      </c>
      <c r="B165" s="12">
        <v>44313</v>
      </c>
      <c r="C165" s="1" t="s">
        <v>8</v>
      </c>
      <c r="D165" s="1" t="s">
        <v>47</v>
      </c>
      <c r="E165" s="13">
        <v>2</v>
      </c>
      <c r="F165" s="11">
        <f>DAY(Tabela5[[#This Row],[Data]])</f>
        <v>27</v>
      </c>
      <c r="G1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66" spans="1:7">
      <c r="A166" s="11" t="s">
        <v>5</v>
      </c>
      <c r="B166" s="12">
        <v>44313</v>
      </c>
      <c r="C166" s="1" t="s">
        <v>8</v>
      </c>
      <c r="D166" s="1" t="s">
        <v>46</v>
      </c>
      <c r="E166" s="13">
        <v>1</v>
      </c>
      <c r="F166" s="11">
        <f>DAY(Tabela5[[#This Row],[Data]])</f>
        <v>27</v>
      </c>
      <c r="G1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67" spans="1:7">
      <c r="A167" s="11" t="s">
        <v>5</v>
      </c>
      <c r="B167" s="12">
        <v>44314</v>
      </c>
      <c r="C167" s="1" t="s">
        <v>8</v>
      </c>
      <c r="D167" s="1" t="s">
        <v>47</v>
      </c>
      <c r="E167" s="13">
        <v>1</v>
      </c>
      <c r="F167" s="11">
        <f>DAY(Tabela5[[#This Row],[Data]])</f>
        <v>28</v>
      </c>
      <c r="G1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68" spans="1:7">
      <c r="A168" s="11" t="s">
        <v>5</v>
      </c>
      <c r="B168" s="12">
        <v>44315</v>
      </c>
      <c r="C168" s="1" t="s">
        <v>8</v>
      </c>
      <c r="D168" s="1" t="s">
        <v>46</v>
      </c>
      <c r="E168" s="13">
        <v>2</v>
      </c>
      <c r="F168" s="11">
        <f>DAY(Tabela5[[#This Row],[Data]])</f>
        <v>29</v>
      </c>
      <c r="G1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69" spans="1:7">
      <c r="A169" s="11" t="s">
        <v>5</v>
      </c>
      <c r="B169" s="12">
        <v>44315</v>
      </c>
      <c r="C169" s="1" t="s">
        <v>8</v>
      </c>
      <c r="D169" s="1" t="s">
        <v>47</v>
      </c>
      <c r="E169" s="13">
        <v>2</v>
      </c>
      <c r="F169" s="11">
        <f>DAY(Tabela5[[#This Row],[Data]])</f>
        <v>29</v>
      </c>
      <c r="G1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70" spans="1:7">
      <c r="A170" s="11" t="s">
        <v>5</v>
      </c>
      <c r="B170" s="12">
        <v>44315</v>
      </c>
      <c r="C170" s="1" t="s">
        <v>8</v>
      </c>
      <c r="D170" s="1" t="s">
        <v>46</v>
      </c>
      <c r="E170" s="13">
        <v>1</v>
      </c>
      <c r="F170" s="11">
        <f>DAY(Tabela5[[#This Row],[Data]])</f>
        <v>29</v>
      </c>
      <c r="G1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71" spans="1:7">
      <c r="A171" s="11" t="s">
        <v>5</v>
      </c>
      <c r="B171" s="12">
        <v>44316</v>
      </c>
      <c r="C171" s="1" t="s">
        <v>8</v>
      </c>
      <c r="D171" s="1" t="s">
        <v>47</v>
      </c>
      <c r="E171" s="13">
        <v>2</v>
      </c>
      <c r="F171" s="11">
        <f>DAY(Tabela5[[#This Row],[Data]])</f>
        <v>30</v>
      </c>
      <c r="G1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72" spans="1:7">
      <c r="A172" s="11" t="s">
        <v>5</v>
      </c>
      <c r="B172" s="12">
        <v>44316</v>
      </c>
      <c r="C172" s="1" t="s">
        <v>8</v>
      </c>
      <c r="D172" s="1" t="s">
        <v>46</v>
      </c>
      <c r="E172" s="13">
        <v>2</v>
      </c>
      <c r="F172" s="11">
        <f>DAY(Tabela5[[#This Row],[Data]])</f>
        <v>30</v>
      </c>
      <c r="G1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73" spans="1:7">
      <c r="A173" s="11" t="s">
        <v>5</v>
      </c>
      <c r="B173" s="12">
        <v>44316</v>
      </c>
      <c r="C173" s="1" t="s">
        <v>8</v>
      </c>
      <c r="D173" s="1" t="s">
        <v>47</v>
      </c>
      <c r="E173" s="13">
        <v>2</v>
      </c>
      <c r="F173" s="11">
        <f>DAY(Tabela5[[#This Row],[Data]])</f>
        <v>30</v>
      </c>
      <c r="G1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74" spans="1:7">
      <c r="A174" s="11" t="s">
        <v>5</v>
      </c>
      <c r="B174" s="12">
        <v>44316</v>
      </c>
      <c r="C174" s="1" t="s">
        <v>8</v>
      </c>
      <c r="D174" s="1" t="s">
        <v>46</v>
      </c>
      <c r="E174" s="13">
        <v>1</v>
      </c>
      <c r="F174" s="11">
        <f>DAY(Tabela5[[#This Row],[Data]])</f>
        <v>30</v>
      </c>
      <c r="G1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75" spans="1:7">
      <c r="A175" s="11" t="s">
        <v>5</v>
      </c>
      <c r="B175" s="12">
        <v>44287</v>
      </c>
      <c r="C175" s="1" t="s">
        <v>22</v>
      </c>
      <c r="D175" s="1" t="s">
        <v>47</v>
      </c>
      <c r="E175" s="13">
        <v>1</v>
      </c>
      <c r="F175" s="11">
        <f>DAY(Tabela5[[#This Row],[Data]])</f>
        <v>1</v>
      </c>
      <c r="G1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76" spans="1:7">
      <c r="A176" s="11" t="s">
        <v>5</v>
      </c>
      <c r="B176" s="12">
        <v>44291</v>
      </c>
      <c r="C176" s="1" t="s">
        <v>22</v>
      </c>
      <c r="D176" s="1" t="s">
        <v>46</v>
      </c>
      <c r="E176" s="13">
        <v>1</v>
      </c>
      <c r="F176" s="11">
        <f>DAY(Tabela5[[#This Row],[Data]])</f>
        <v>5</v>
      </c>
      <c r="G1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77" spans="1:7">
      <c r="A177" s="11" t="s">
        <v>5</v>
      </c>
      <c r="B177" s="12">
        <v>44292</v>
      </c>
      <c r="C177" s="1" t="s">
        <v>22</v>
      </c>
      <c r="D177" s="1" t="s">
        <v>47</v>
      </c>
      <c r="E177" s="13">
        <v>1</v>
      </c>
      <c r="F177" s="11">
        <f>DAY(Tabela5[[#This Row],[Data]])</f>
        <v>6</v>
      </c>
      <c r="G1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78" spans="1:7">
      <c r="A178" s="11" t="s">
        <v>5</v>
      </c>
      <c r="B178" s="12">
        <v>44293</v>
      </c>
      <c r="C178" s="1" t="s">
        <v>22</v>
      </c>
      <c r="D178" s="1" t="s">
        <v>46</v>
      </c>
      <c r="E178" s="13">
        <v>2</v>
      </c>
      <c r="F178" s="11">
        <f>DAY(Tabela5[[#This Row],[Data]])</f>
        <v>7</v>
      </c>
      <c r="G1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79" spans="1:7">
      <c r="A179" s="11" t="s">
        <v>5</v>
      </c>
      <c r="B179" s="12">
        <v>44294</v>
      </c>
      <c r="C179" s="1" t="s">
        <v>22</v>
      </c>
      <c r="D179" s="1" t="s">
        <v>47</v>
      </c>
      <c r="E179" s="13">
        <v>2</v>
      </c>
      <c r="F179" s="11">
        <f>DAY(Tabela5[[#This Row],[Data]])</f>
        <v>8</v>
      </c>
      <c r="G1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80" spans="1:7">
      <c r="A180" s="11" t="s">
        <v>5</v>
      </c>
      <c r="B180" s="12">
        <v>44295</v>
      </c>
      <c r="C180" s="1" t="s">
        <v>22</v>
      </c>
      <c r="D180" s="1" t="s">
        <v>46</v>
      </c>
      <c r="E180" s="13">
        <v>2</v>
      </c>
      <c r="F180" s="11">
        <f>DAY(Tabela5[[#This Row],[Data]])</f>
        <v>9</v>
      </c>
      <c r="G1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81" spans="1:7">
      <c r="A181" s="11" t="s">
        <v>5</v>
      </c>
      <c r="B181" s="12">
        <v>44295</v>
      </c>
      <c r="C181" s="1" t="s">
        <v>22</v>
      </c>
      <c r="D181" s="1" t="s">
        <v>47</v>
      </c>
      <c r="E181" s="13">
        <v>2</v>
      </c>
      <c r="F181" s="11">
        <f>DAY(Tabela5[[#This Row],[Data]])</f>
        <v>9</v>
      </c>
      <c r="G1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82" spans="1:7">
      <c r="A182" s="11" t="s">
        <v>5</v>
      </c>
      <c r="B182" s="12">
        <v>44298</v>
      </c>
      <c r="C182" s="1" t="s">
        <v>22</v>
      </c>
      <c r="D182" s="1" t="s">
        <v>46</v>
      </c>
      <c r="E182" s="13">
        <v>1</v>
      </c>
      <c r="F182" s="11">
        <f>DAY(Tabela5[[#This Row],[Data]])</f>
        <v>12</v>
      </c>
      <c r="G1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83" spans="1:7">
      <c r="A183" s="11" t="s">
        <v>5</v>
      </c>
      <c r="B183" s="12">
        <v>44298</v>
      </c>
      <c r="C183" s="1" t="s">
        <v>22</v>
      </c>
      <c r="D183" s="1" t="s">
        <v>47</v>
      </c>
      <c r="E183" s="13">
        <v>1</v>
      </c>
      <c r="F183" s="11">
        <f>DAY(Tabela5[[#This Row],[Data]])</f>
        <v>12</v>
      </c>
      <c r="G1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84" spans="1:7">
      <c r="A184" s="11" t="s">
        <v>5</v>
      </c>
      <c r="B184" s="12">
        <v>44299</v>
      </c>
      <c r="C184" s="1" t="s">
        <v>22</v>
      </c>
      <c r="D184" s="1" t="s">
        <v>46</v>
      </c>
      <c r="E184" s="13">
        <v>1</v>
      </c>
      <c r="F184" s="11">
        <f>DAY(Tabela5[[#This Row],[Data]])</f>
        <v>13</v>
      </c>
      <c r="G1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85" spans="1:7">
      <c r="A185" s="11" t="s">
        <v>5</v>
      </c>
      <c r="B185" s="12">
        <v>44299</v>
      </c>
      <c r="C185" s="1" t="s">
        <v>22</v>
      </c>
      <c r="D185" s="1" t="s">
        <v>47</v>
      </c>
      <c r="E185" s="13">
        <v>2</v>
      </c>
      <c r="F185" s="11">
        <f>DAY(Tabela5[[#This Row],[Data]])</f>
        <v>13</v>
      </c>
      <c r="G1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86" spans="1:7">
      <c r="A186" s="11" t="s">
        <v>5</v>
      </c>
      <c r="B186" s="12">
        <v>44300</v>
      </c>
      <c r="C186" s="1" t="s">
        <v>22</v>
      </c>
      <c r="D186" s="1" t="s">
        <v>46</v>
      </c>
      <c r="E186" s="13">
        <v>2</v>
      </c>
      <c r="F186" s="11">
        <f>DAY(Tabela5[[#This Row],[Data]])</f>
        <v>14</v>
      </c>
      <c r="G1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87" spans="1:7">
      <c r="A187" s="11" t="s">
        <v>5</v>
      </c>
      <c r="B187" s="12">
        <v>44300</v>
      </c>
      <c r="C187" s="1" t="s">
        <v>22</v>
      </c>
      <c r="D187" s="1" t="s">
        <v>47</v>
      </c>
      <c r="E187" s="13">
        <v>2</v>
      </c>
      <c r="F187" s="11">
        <f>DAY(Tabela5[[#This Row],[Data]])</f>
        <v>14</v>
      </c>
      <c r="G1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88" spans="1:7">
      <c r="A188" s="11" t="s">
        <v>5</v>
      </c>
      <c r="B188" s="12">
        <v>44300</v>
      </c>
      <c r="C188" s="1" t="s">
        <v>22</v>
      </c>
      <c r="D188" s="1" t="s">
        <v>46</v>
      </c>
      <c r="E188" s="13">
        <v>2</v>
      </c>
      <c r="F188" s="11">
        <f>DAY(Tabela5[[#This Row],[Data]])</f>
        <v>14</v>
      </c>
      <c r="G1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89" spans="1:7">
      <c r="A189" s="11" t="s">
        <v>5</v>
      </c>
      <c r="B189" s="12">
        <v>44301</v>
      </c>
      <c r="C189" s="1" t="s">
        <v>22</v>
      </c>
      <c r="D189" s="1" t="s">
        <v>47</v>
      </c>
      <c r="E189" s="13">
        <v>1</v>
      </c>
      <c r="F189" s="11">
        <f>DAY(Tabela5[[#This Row],[Data]])</f>
        <v>15</v>
      </c>
      <c r="G1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90" spans="1:7">
      <c r="A190" s="11" t="s">
        <v>5</v>
      </c>
      <c r="B190" s="12">
        <v>44301</v>
      </c>
      <c r="C190" s="1" t="s">
        <v>22</v>
      </c>
      <c r="D190" s="1" t="s">
        <v>46</v>
      </c>
      <c r="E190" s="13">
        <v>2</v>
      </c>
      <c r="F190" s="11">
        <f>DAY(Tabela5[[#This Row],[Data]])</f>
        <v>15</v>
      </c>
      <c r="G1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91" spans="1:7">
      <c r="A191" s="11" t="s">
        <v>5</v>
      </c>
      <c r="B191" s="12">
        <v>44302</v>
      </c>
      <c r="C191" s="1" t="s">
        <v>22</v>
      </c>
      <c r="D191" s="1" t="s">
        <v>47</v>
      </c>
      <c r="E191" s="13">
        <v>2</v>
      </c>
      <c r="F191" s="11">
        <f>DAY(Tabela5[[#This Row],[Data]])</f>
        <v>16</v>
      </c>
      <c r="G1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92" spans="1:7">
      <c r="A192" s="11" t="s">
        <v>5</v>
      </c>
      <c r="B192" s="12">
        <v>44302</v>
      </c>
      <c r="C192" s="1" t="s">
        <v>22</v>
      </c>
      <c r="D192" s="1" t="s">
        <v>46</v>
      </c>
      <c r="E192" s="13">
        <v>2</v>
      </c>
      <c r="F192" s="11">
        <f>DAY(Tabela5[[#This Row],[Data]])</f>
        <v>16</v>
      </c>
      <c r="G1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93" spans="1:7">
      <c r="A193" s="11" t="s">
        <v>5</v>
      </c>
      <c r="B193" s="12">
        <v>44303</v>
      </c>
      <c r="C193" s="1" t="s">
        <v>22</v>
      </c>
      <c r="D193" s="1" t="s">
        <v>47</v>
      </c>
      <c r="E193" s="13">
        <v>1</v>
      </c>
      <c r="F193" s="11">
        <f>DAY(Tabela5[[#This Row],[Data]])</f>
        <v>17</v>
      </c>
      <c r="G1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194" spans="1:7">
      <c r="A194" s="11" t="s">
        <v>5</v>
      </c>
      <c r="B194" s="12">
        <v>44305</v>
      </c>
      <c r="C194" s="1" t="s">
        <v>22</v>
      </c>
      <c r="D194" s="1" t="s">
        <v>46</v>
      </c>
      <c r="E194" s="13">
        <v>1</v>
      </c>
      <c r="F194" s="11">
        <f>DAY(Tabela5[[#This Row],[Data]])</f>
        <v>19</v>
      </c>
      <c r="G1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95" spans="1:7">
      <c r="A195" s="11" t="s">
        <v>5</v>
      </c>
      <c r="B195" s="12">
        <v>44306</v>
      </c>
      <c r="C195" s="1" t="s">
        <v>22</v>
      </c>
      <c r="D195" s="1" t="s">
        <v>47</v>
      </c>
      <c r="E195" s="13">
        <v>2</v>
      </c>
      <c r="F195" s="11">
        <f>DAY(Tabela5[[#This Row],[Data]])</f>
        <v>20</v>
      </c>
      <c r="G1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96" spans="1:7">
      <c r="A196" s="11" t="s">
        <v>5</v>
      </c>
      <c r="B196" s="12">
        <v>44306</v>
      </c>
      <c r="C196" s="1" t="s">
        <v>22</v>
      </c>
      <c r="D196" s="1" t="s">
        <v>46</v>
      </c>
      <c r="E196" s="13">
        <v>2</v>
      </c>
      <c r="F196" s="11">
        <f>DAY(Tabela5[[#This Row],[Data]])</f>
        <v>20</v>
      </c>
      <c r="G1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97" spans="1:7">
      <c r="A197" s="11" t="s">
        <v>5</v>
      </c>
      <c r="B197" s="12">
        <v>44306</v>
      </c>
      <c r="C197" s="1" t="s">
        <v>22</v>
      </c>
      <c r="D197" s="1" t="s">
        <v>47</v>
      </c>
      <c r="E197" s="13">
        <v>2</v>
      </c>
      <c r="F197" s="11">
        <f>DAY(Tabela5[[#This Row],[Data]])</f>
        <v>20</v>
      </c>
      <c r="G1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98" spans="1:7">
      <c r="A198" s="11" t="s">
        <v>5</v>
      </c>
      <c r="B198" s="12">
        <v>44308</v>
      </c>
      <c r="C198" s="1" t="s">
        <v>22</v>
      </c>
      <c r="D198" s="1" t="s">
        <v>46</v>
      </c>
      <c r="E198" s="13">
        <v>1</v>
      </c>
      <c r="F198" s="11">
        <f>DAY(Tabela5[[#This Row],[Data]])</f>
        <v>22</v>
      </c>
      <c r="G1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99" spans="1:7">
      <c r="A199" s="11" t="s">
        <v>5</v>
      </c>
      <c r="B199" s="12">
        <v>44308</v>
      </c>
      <c r="C199" s="1" t="s">
        <v>22</v>
      </c>
      <c r="D199" s="1" t="s">
        <v>47</v>
      </c>
      <c r="E199" s="13">
        <v>2</v>
      </c>
      <c r="F199" s="11">
        <f>DAY(Tabela5[[#This Row],[Data]])</f>
        <v>22</v>
      </c>
      <c r="G1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00" spans="1:7">
      <c r="A200" s="11" t="s">
        <v>5</v>
      </c>
      <c r="B200" s="12">
        <v>44309</v>
      </c>
      <c r="C200" s="1" t="s">
        <v>22</v>
      </c>
      <c r="D200" s="1" t="s">
        <v>46</v>
      </c>
      <c r="E200" s="13">
        <v>2</v>
      </c>
      <c r="F200" s="11">
        <f>DAY(Tabela5[[#This Row],[Data]])</f>
        <v>23</v>
      </c>
      <c r="G2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01" spans="1:7">
      <c r="A201" s="11" t="s">
        <v>5</v>
      </c>
      <c r="B201" s="12">
        <v>44309</v>
      </c>
      <c r="C201" s="1" t="s">
        <v>22</v>
      </c>
      <c r="D201" s="1" t="s">
        <v>47</v>
      </c>
      <c r="E201" s="13">
        <v>1</v>
      </c>
      <c r="F201" s="11">
        <f>DAY(Tabela5[[#This Row],[Data]])</f>
        <v>23</v>
      </c>
      <c r="G2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02" spans="1:7">
      <c r="A202" s="11" t="s">
        <v>5</v>
      </c>
      <c r="B202" s="12">
        <v>44312</v>
      </c>
      <c r="C202" s="1" t="s">
        <v>22</v>
      </c>
      <c r="D202" s="1" t="s">
        <v>46</v>
      </c>
      <c r="E202" s="13">
        <v>2</v>
      </c>
      <c r="F202" s="11">
        <f>DAY(Tabela5[[#This Row],[Data]])</f>
        <v>26</v>
      </c>
      <c r="G2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03" spans="1:7">
      <c r="A203" s="11" t="s">
        <v>5</v>
      </c>
      <c r="B203" s="12">
        <v>44312</v>
      </c>
      <c r="C203" s="1" t="s">
        <v>22</v>
      </c>
      <c r="D203" s="1" t="s">
        <v>47</v>
      </c>
      <c r="E203" s="13">
        <v>1</v>
      </c>
      <c r="F203" s="11">
        <f>DAY(Tabela5[[#This Row],[Data]])</f>
        <v>26</v>
      </c>
      <c r="G2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04" spans="1:7">
      <c r="A204" s="11" t="s">
        <v>5</v>
      </c>
      <c r="B204" s="12">
        <v>44313</v>
      </c>
      <c r="C204" s="1" t="s">
        <v>22</v>
      </c>
      <c r="D204" s="1" t="s">
        <v>46</v>
      </c>
      <c r="E204" s="13">
        <v>2</v>
      </c>
      <c r="F204" s="11">
        <f>DAY(Tabela5[[#This Row],[Data]])</f>
        <v>27</v>
      </c>
      <c r="G2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05" spans="1:7">
      <c r="A205" s="11" t="s">
        <v>5</v>
      </c>
      <c r="B205" s="12">
        <v>44313</v>
      </c>
      <c r="C205" s="1" t="s">
        <v>22</v>
      </c>
      <c r="D205" s="1" t="s">
        <v>47</v>
      </c>
      <c r="E205" s="13">
        <v>2</v>
      </c>
      <c r="F205" s="11">
        <f>DAY(Tabela5[[#This Row],[Data]])</f>
        <v>27</v>
      </c>
      <c r="G2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06" spans="1:7">
      <c r="A206" s="11" t="s">
        <v>5</v>
      </c>
      <c r="B206" s="12">
        <v>44314</v>
      </c>
      <c r="C206" s="1" t="s">
        <v>22</v>
      </c>
      <c r="D206" s="1" t="s">
        <v>46</v>
      </c>
      <c r="E206" s="13">
        <v>1</v>
      </c>
      <c r="F206" s="11">
        <f>DAY(Tabela5[[#This Row],[Data]])</f>
        <v>28</v>
      </c>
      <c r="G2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07" spans="1:7">
      <c r="A207" s="11" t="s">
        <v>5</v>
      </c>
      <c r="B207" s="12">
        <v>44314</v>
      </c>
      <c r="C207" s="1" t="s">
        <v>22</v>
      </c>
      <c r="D207" s="1" t="s">
        <v>47</v>
      </c>
      <c r="E207" s="13">
        <v>2</v>
      </c>
      <c r="F207" s="11">
        <f>DAY(Tabela5[[#This Row],[Data]])</f>
        <v>28</v>
      </c>
      <c r="G2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08" spans="1:7">
      <c r="A208" s="11" t="s">
        <v>5</v>
      </c>
      <c r="B208" s="12">
        <v>44315</v>
      </c>
      <c r="C208" s="1" t="s">
        <v>22</v>
      </c>
      <c r="D208" s="1" t="s">
        <v>46</v>
      </c>
      <c r="E208" s="13">
        <v>2</v>
      </c>
      <c r="F208" s="11">
        <f>DAY(Tabela5[[#This Row],[Data]])</f>
        <v>29</v>
      </c>
      <c r="G2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09" spans="1:7">
      <c r="A209" s="11" t="s">
        <v>5</v>
      </c>
      <c r="B209" s="12">
        <v>44315</v>
      </c>
      <c r="C209" s="1" t="s">
        <v>22</v>
      </c>
      <c r="D209" s="1" t="s">
        <v>47</v>
      </c>
      <c r="E209" s="13">
        <v>2</v>
      </c>
      <c r="F209" s="11">
        <f>DAY(Tabela5[[#This Row],[Data]])</f>
        <v>29</v>
      </c>
      <c r="G2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10" spans="1:7">
      <c r="A210" s="11" t="s">
        <v>5</v>
      </c>
      <c r="B210" s="12">
        <v>44316</v>
      </c>
      <c r="C210" s="1" t="s">
        <v>22</v>
      </c>
      <c r="D210" s="1" t="s">
        <v>46</v>
      </c>
      <c r="E210" s="13">
        <v>1</v>
      </c>
      <c r="F210" s="11">
        <f>DAY(Tabela5[[#This Row],[Data]])</f>
        <v>30</v>
      </c>
      <c r="G2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11" spans="1:7">
      <c r="A211" s="11" t="s">
        <v>5</v>
      </c>
      <c r="B211" s="12">
        <v>44316</v>
      </c>
      <c r="C211" s="1" t="s">
        <v>22</v>
      </c>
      <c r="D211" s="1" t="s">
        <v>47</v>
      </c>
      <c r="E211" s="13">
        <v>2</v>
      </c>
      <c r="F211" s="11">
        <f>DAY(Tabela5[[#This Row],[Data]])</f>
        <v>30</v>
      </c>
      <c r="G2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12" spans="1:7">
      <c r="A212" s="11" t="s">
        <v>5</v>
      </c>
      <c r="B212" s="12">
        <v>44316</v>
      </c>
      <c r="C212" s="1" t="s">
        <v>22</v>
      </c>
      <c r="D212" s="1" t="s">
        <v>46</v>
      </c>
      <c r="E212" s="13">
        <v>2</v>
      </c>
      <c r="F212" s="11">
        <f>DAY(Tabela5[[#This Row],[Data]])</f>
        <v>30</v>
      </c>
      <c r="G2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13" spans="1:7">
      <c r="A213" s="11" t="s">
        <v>5</v>
      </c>
      <c r="B213" s="12">
        <v>44287</v>
      </c>
      <c r="C213" s="1" t="s">
        <v>14</v>
      </c>
      <c r="D213" s="1" t="s">
        <v>47</v>
      </c>
      <c r="E213" s="13">
        <v>2</v>
      </c>
      <c r="F213" s="11">
        <f>DAY(Tabela5[[#This Row],[Data]])</f>
        <v>1</v>
      </c>
      <c r="G2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14" spans="1:7">
      <c r="A214" s="11" t="s">
        <v>5</v>
      </c>
      <c r="B214" s="12">
        <v>44287</v>
      </c>
      <c r="C214" s="1" t="s">
        <v>14</v>
      </c>
      <c r="D214" s="1" t="s">
        <v>46</v>
      </c>
      <c r="E214" s="13">
        <v>1</v>
      </c>
      <c r="F214" s="11">
        <f>DAY(Tabela5[[#This Row],[Data]])</f>
        <v>1</v>
      </c>
      <c r="G2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15" spans="1:7">
      <c r="A215" s="11" t="s">
        <v>5</v>
      </c>
      <c r="B215" s="12">
        <v>44291</v>
      </c>
      <c r="C215" s="1" t="s">
        <v>14</v>
      </c>
      <c r="D215" s="1" t="s">
        <v>47</v>
      </c>
      <c r="E215" s="13">
        <v>1</v>
      </c>
      <c r="F215" s="11">
        <f>DAY(Tabela5[[#This Row],[Data]])</f>
        <v>5</v>
      </c>
      <c r="G2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16" spans="1:7">
      <c r="A216" s="11" t="s">
        <v>5</v>
      </c>
      <c r="B216" s="12">
        <v>44292</v>
      </c>
      <c r="C216" s="1" t="s">
        <v>14</v>
      </c>
      <c r="D216" s="1" t="s">
        <v>46</v>
      </c>
      <c r="E216" s="13">
        <v>2</v>
      </c>
      <c r="F216" s="11">
        <f>DAY(Tabela5[[#This Row],[Data]])</f>
        <v>6</v>
      </c>
      <c r="G2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17" spans="1:7">
      <c r="A217" s="11" t="s">
        <v>5</v>
      </c>
      <c r="B217" s="12">
        <v>44293</v>
      </c>
      <c r="C217" s="1" t="s">
        <v>14</v>
      </c>
      <c r="D217" s="1" t="s">
        <v>47</v>
      </c>
      <c r="E217" s="13">
        <v>2</v>
      </c>
      <c r="F217" s="11">
        <f>DAY(Tabela5[[#This Row],[Data]])</f>
        <v>7</v>
      </c>
      <c r="G2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18" spans="1:7">
      <c r="A218" s="11" t="s">
        <v>5</v>
      </c>
      <c r="B218" s="12">
        <v>44294</v>
      </c>
      <c r="C218" s="1" t="s">
        <v>14</v>
      </c>
      <c r="D218" s="1" t="s">
        <v>46</v>
      </c>
      <c r="E218" s="13">
        <v>1</v>
      </c>
      <c r="F218" s="11">
        <f>DAY(Tabela5[[#This Row],[Data]])</f>
        <v>8</v>
      </c>
      <c r="G2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19" spans="1:7">
      <c r="A219" s="11" t="s">
        <v>5</v>
      </c>
      <c r="B219" s="12">
        <v>44295</v>
      </c>
      <c r="C219" s="1" t="s">
        <v>14</v>
      </c>
      <c r="D219" s="1" t="s">
        <v>47</v>
      </c>
      <c r="E219" s="13">
        <v>1</v>
      </c>
      <c r="F219" s="11">
        <f>DAY(Tabela5[[#This Row],[Data]])</f>
        <v>9</v>
      </c>
      <c r="G2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20" spans="1:7">
      <c r="A220" s="11" t="s">
        <v>5</v>
      </c>
      <c r="B220" s="12">
        <v>44295</v>
      </c>
      <c r="C220" s="1" t="s">
        <v>14</v>
      </c>
      <c r="D220" s="1" t="s">
        <v>46</v>
      </c>
      <c r="E220" s="13">
        <v>2</v>
      </c>
      <c r="F220" s="11">
        <f>DAY(Tabela5[[#This Row],[Data]])</f>
        <v>9</v>
      </c>
      <c r="G2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21" spans="1:7">
      <c r="A221" s="11" t="s">
        <v>5</v>
      </c>
      <c r="B221" s="12">
        <v>44295</v>
      </c>
      <c r="C221" s="1" t="s">
        <v>14</v>
      </c>
      <c r="D221" s="1" t="s">
        <v>47</v>
      </c>
      <c r="E221" s="13">
        <v>2</v>
      </c>
      <c r="F221" s="11">
        <f>DAY(Tabela5[[#This Row],[Data]])</f>
        <v>9</v>
      </c>
      <c r="G2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22" spans="1:7">
      <c r="A222" s="11" t="s">
        <v>5</v>
      </c>
      <c r="B222" s="12">
        <v>44298</v>
      </c>
      <c r="C222" s="1" t="s">
        <v>14</v>
      </c>
      <c r="D222" s="1" t="s">
        <v>46</v>
      </c>
      <c r="E222" s="13">
        <v>1</v>
      </c>
      <c r="F222" s="11">
        <f>DAY(Tabela5[[#This Row],[Data]])</f>
        <v>12</v>
      </c>
      <c r="G2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23" spans="1:7">
      <c r="A223" s="11" t="s">
        <v>5</v>
      </c>
      <c r="B223" s="12">
        <v>44298</v>
      </c>
      <c r="C223" s="1" t="s">
        <v>14</v>
      </c>
      <c r="D223" s="1" t="s">
        <v>47</v>
      </c>
      <c r="E223" s="13">
        <v>1</v>
      </c>
      <c r="F223" s="11">
        <f>DAY(Tabela5[[#This Row],[Data]])</f>
        <v>12</v>
      </c>
      <c r="G2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24" spans="1:7">
      <c r="A224" s="11" t="s">
        <v>5</v>
      </c>
      <c r="B224" s="12">
        <v>44298</v>
      </c>
      <c r="C224" s="1" t="s">
        <v>14</v>
      </c>
      <c r="D224" s="1" t="s">
        <v>46</v>
      </c>
      <c r="E224" s="13">
        <v>2</v>
      </c>
      <c r="F224" s="11">
        <f>DAY(Tabela5[[#This Row],[Data]])</f>
        <v>12</v>
      </c>
      <c r="G2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25" spans="1:7">
      <c r="A225" s="11" t="s">
        <v>5</v>
      </c>
      <c r="B225" s="12">
        <v>44299</v>
      </c>
      <c r="C225" s="1" t="s">
        <v>14</v>
      </c>
      <c r="D225" s="1" t="s">
        <v>47</v>
      </c>
      <c r="E225" s="13">
        <v>2</v>
      </c>
      <c r="F225" s="11">
        <f>DAY(Tabela5[[#This Row],[Data]])</f>
        <v>13</v>
      </c>
      <c r="G2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26" spans="1:7">
      <c r="A226" s="11" t="s">
        <v>5</v>
      </c>
      <c r="B226" s="12">
        <v>44299</v>
      </c>
      <c r="C226" s="1" t="s">
        <v>14</v>
      </c>
      <c r="D226" s="1" t="s">
        <v>46</v>
      </c>
      <c r="E226" s="13">
        <v>1</v>
      </c>
      <c r="F226" s="11">
        <f>DAY(Tabela5[[#This Row],[Data]])</f>
        <v>13</v>
      </c>
      <c r="G2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27" spans="1:7">
      <c r="A227" s="11" t="s">
        <v>5</v>
      </c>
      <c r="B227" s="12">
        <v>44299</v>
      </c>
      <c r="C227" s="1" t="s">
        <v>14</v>
      </c>
      <c r="D227" s="1" t="s">
        <v>47</v>
      </c>
      <c r="E227" s="13">
        <v>1</v>
      </c>
      <c r="F227" s="11">
        <f>DAY(Tabela5[[#This Row],[Data]])</f>
        <v>13</v>
      </c>
      <c r="G2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28" spans="1:7">
      <c r="A228" s="11" t="s">
        <v>5</v>
      </c>
      <c r="B228" s="12">
        <v>44300</v>
      </c>
      <c r="C228" s="1" t="s">
        <v>14</v>
      </c>
      <c r="D228" s="1" t="s">
        <v>46</v>
      </c>
      <c r="E228" s="13">
        <v>2</v>
      </c>
      <c r="F228" s="11">
        <f>DAY(Tabela5[[#This Row],[Data]])</f>
        <v>14</v>
      </c>
      <c r="G2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29" spans="1:7">
      <c r="A229" s="11" t="s">
        <v>5</v>
      </c>
      <c r="B229" s="12">
        <v>44300</v>
      </c>
      <c r="C229" s="1" t="s">
        <v>14</v>
      </c>
      <c r="D229" s="1" t="s">
        <v>47</v>
      </c>
      <c r="E229" s="13">
        <v>2</v>
      </c>
      <c r="F229" s="11">
        <f>DAY(Tabela5[[#This Row],[Data]])</f>
        <v>14</v>
      </c>
      <c r="G2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30" spans="1:7">
      <c r="A230" s="11" t="s">
        <v>5</v>
      </c>
      <c r="B230" s="12">
        <v>44300</v>
      </c>
      <c r="C230" s="1" t="s">
        <v>14</v>
      </c>
      <c r="D230" s="1" t="s">
        <v>46</v>
      </c>
      <c r="E230" s="13">
        <v>2</v>
      </c>
      <c r="F230" s="11">
        <f>DAY(Tabela5[[#This Row],[Data]])</f>
        <v>14</v>
      </c>
      <c r="G2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31" spans="1:7">
      <c r="A231" s="11" t="s">
        <v>5</v>
      </c>
      <c r="B231" s="12">
        <v>44301</v>
      </c>
      <c r="C231" s="1" t="s">
        <v>14</v>
      </c>
      <c r="D231" s="1" t="s">
        <v>47</v>
      </c>
      <c r="E231" s="13">
        <v>2</v>
      </c>
      <c r="F231" s="11">
        <f>DAY(Tabela5[[#This Row],[Data]])</f>
        <v>15</v>
      </c>
      <c r="G2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32" spans="1:7">
      <c r="A232" s="11" t="s">
        <v>5</v>
      </c>
      <c r="B232" s="12">
        <v>44301</v>
      </c>
      <c r="C232" s="1" t="s">
        <v>14</v>
      </c>
      <c r="D232" s="1" t="s">
        <v>46</v>
      </c>
      <c r="E232" s="13">
        <v>1</v>
      </c>
      <c r="F232" s="11">
        <f>DAY(Tabela5[[#This Row],[Data]])</f>
        <v>15</v>
      </c>
      <c r="G2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33" spans="1:7">
      <c r="A233" s="11" t="s">
        <v>5</v>
      </c>
      <c r="B233" s="12">
        <v>44302</v>
      </c>
      <c r="C233" s="1" t="s">
        <v>14</v>
      </c>
      <c r="D233" s="1" t="s">
        <v>47</v>
      </c>
      <c r="E233" s="13">
        <v>2</v>
      </c>
      <c r="F233" s="11">
        <f>DAY(Tabela5[[#This Row],[Data]])</f>
        <v>16</v>
      </c>
      <c r="G2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34" spans="1:7">
      <c r="A234" s="11" t="s">
        <v>5</v>
      </c>
      <c r="B234" s="12">
        <v>44302</v>
      </c>
      <c r="C234" s="1" t="s">
        <v>14</v>
      </c>
      <c r="D234" s="1" t="s">
        <v>46</v>
      </c>
      <c r="E234" s="13">
        <v>2</v>
      </c>
      <c r="F234" s="11">
        <f>DAY(Tabela5[[#This Row],[Data]])</f>
        <v>16</v>
      </c>
      <c r="G2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35" spans="1:7">
      <c r="A235" s="11" t="s">
        <v>5</v>
      </c>
      <c r="B235" s="12">
        <v>44302</v>
      </c>
      <c r="C235" s="1" t="s">
        <v>14</v>
      </c>
      <c r="D235" s="1" t="s">
        <v>47</v>
      </c>
      <c r="E235" s="13">
        <v>2</v>
      </c>
      <c r="F235" s="11">
        <f>DAY(Tabela5[[#This Row],[Data]])</f>
        <v>16</v>
      </c>
      <c r="G2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36" spans="1:7">
      <c r="A236" s="11" t="s">
        <v>5</v>
      </c>
      <c r="B236" s="12">
        <v>44305</v>
      </c>
      <c r="C236" s="1" t="s">
        <v>14</v>
      </c>
      <c r="D236" s="1" t="s">
        <v>46</v>
      </c>
      <c r="E236" s="13">
        <v>1</v>
      </c>
      <c r="F236" s="11">
        <f>DAY(Tabela5[[#This Row],[Data]])</f>
        <v>19</v>
      </c>
      <c r="G2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37" spans="1:7">
      <c r="A237" s="11" t="s">
        <v>5</v>
      </c>
      <c r="B237" s="12">
        <v>44305</v>
      </c>
      <c r="C237" s="1" t="s">
        <v>14</v>
      </c>
      <c r="D237" s="1" t="s">
        <v>47</v>
      </c>
      <c r="E237" s="13">
        <v>1</v>
      </c>
      <c r="F237" s="11">
        <f>DAY(Tabela5[[#This Row],[Data]])</f>
        <v>19</v>
      </c>
      <c r="G2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38" spans="1:7">
      <c r="A238" s="11" t="s">
        <v>5</v>
      </c>
      <c r="B238" s="12">
        <v>44305</v>
      </c>
      <c r="C238" s="1" t="s">
        <v>14</v>
      </c>
      <c r="D238" s="1" t="s">
        <v>46</v>
      </c>
      <c r="E238" s="13">
        <v>2</v>
      </c>
      <c r="F238" s="11">
        <f>DAY(Tabela5[[#This Row],[Data]])</f>
        <v>19</v>
      </c>
      <c r="G2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39" spans="1:7">
      <c r="A239" s="11" t="s">
        <v>5</v>
      </c>
      <c r="B239" s="12">
        <v>44306</v>
      </c>
      <c r="C239" s="1" t="s">
        <v>14</v>
      </c>
      <c r="D239" s="1" t="s">
        <v>47</v>
      </c>
      <c r="E239" s="13">
        <v>2</v>
      </c>
      <c r="F239" s="11">
        <f>DAY(Tabela5[[#This Row],[Data]])</f>
        <v>20</v>
      </c>
      <c r="G2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40" spans="1:7">
      <c r="A240" s="11" t="s">
        <v>5</v>
      </c>
      <c r="B240" s="12">
        <v>44306</v>
      </c>
      <c r="C240" s="1" t="s">
        <v>14</v>
      </c>
      <c r="D240" s="1" t="s">
        <v>46</v>
      </c>
      <c r="E240" s="13">
        <v>2</v>
      </c>
      <c r="F240" s="11">
        <f>DAY(Tabela5[[#This Row],[Data]])</f>
        <v>20</v>
      </c>
      <c r="G2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41" spans="1:7">
      <c r="A241" s="11" t="s">
        <v>5</v>
      </c>
      <c r="B241" s="12">
        <v>44306</v>
      </c>
      <c r="C241" s="1" t="s">
        <v>14</v>
      </c>
      <c r="D241" s="1" t="s">
        <v>47</v>
      </c>
      <c r="E241" s="13">
        <v>2</v>
      </c>
      <c r="F241" s="11">
        <f>DAY(Tabela5[[#This Row],[Data]])</f>
        <v>20</v>
      </c>
      <c r="G2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42" spans="1:7">
      <c r="A242" s="11" t="s">
        <v>5</v>
      </c>
      <c r="B242" s="12">
        <v>44308</v>
      </c>
      <c r="C242" s="1" t="s">
        <v>14</v>
      </c>
      <c r="D242" s="1" t="s">
        <v>46</v>
      </c>
      <c r="E242" s="13">
        <v>2</v>
      </c>
      <c r="F242" s="11">
        <f>DAY(Tabela5[[#This Row],[Data]])</f>
        <v>22</v>
      </c>
      <c r="G2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43" spans="1:7">
      <c r="A243" s="11" t="s">
        <v>5</v>
      </c>
      <c r="B243" s="12">
        <v>44308</v>
      </c>
      <c r="C243" s="1" t="s">
        <v>14</v>
      </c>
      <c r="D243" s="1" t="s">
        <v>47</v>
      </c>
      <c r="E243" s="13">
        <v>1</v>
      </c>
      <c r="F243" s="11">
        <f>DAY(Tabela5[[#This Row],[Data]])</f>
        <v>22</v>
      </c>
      <c r="G2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44" spans="1:7">
      <c r="A244" s="11" t="s">
        <v>5</v>
      </c>
      <c r="B244" s="12">
        <v>44308</v>
      </c>
      <c r="C244" s="1" t="s">
        <v>14</v>
      </c>
      <c r="D244" s="1" t="s">
        <v>46</v>
      </c>
      <c r="E244" s="13">
        <v>1</v>
      </c>
      <c r="F244" s="11">
        <f>DAY(Tabela5[[#This Row],[Data]])</f>
        <v>22</v>
      </c>
      <c r="G2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45" spans="1:7">
      <c r="A245" s="11" t="s">
        <v>5</v>
      </c>
      <c r="B245" s="12">
        <v>44309</v>
      </c>
      <c r="C245" s="1" t="s">
        <v>14</v>
      </c>
      <c r="D245" s="1" t="s">
        <v>47</v>
      </c>
      <c r="E245" s="13">
        <v>2</v>
      </c>
      <c r="F245" s="11">
        <f>DAY(Tabela5[[#This Row],[Data]])</f>
        <v>23</v>
      </c>
      <c r="G2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46" spans="1:7">
      <c r="A246" s="11" t="s">
        <v>5</v>
      </c>
      <c r="B246" s="12">
        <v>44309</v>
      </c>
      <c r="C246" s="1" t="s">
        <v>14</v>
      </c>
      <c r="D246" s="1" t="s">
        <v>46</v>
      </c>
      <c r="E246" s="13">
        <v>1</v>
      </c>
      <c r="F246" s="11">
        <f>DAY(Tabela5[[#This Row],[Data]])</f>
        <v>23</v>
      </c>
      <c r="G2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47" spans="1:7">
      <c r="A247" s="11" t="s">
        <v>5</v>
      </c>
      <c r="B247" s="12">
        <v>44309</v>
      </c>
      <c r="C247" s="1" t="s">
        <v>14</v>
      </c>
      <c r="D247" s="1" t="s">
        <v>47</v>
      </c>
      <c r="E247" s="13">
        <v>1</v>
      </c>
      <c r="F247" s="11">
        <f>DAY(Tabela5[[#This Row],[Data]])</f>
        <v>23</v>
      </c>
      <c r="G2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48" spans="1:7">
      <c r="A248" s="11" t="s">
        <v>5</v>
      </c>
      <c r="B248" s="12">
        <v>44312</v>
      </c>
      <c r="C248" s="1" t="s">
        <v>14</v>
      </c>
      <c r="D248" s="1" t="s">
        <v>46</v>
      </c>
      <c r="E248" s="13">
        <v>2</v>
      </c>
      <c r="F248" s="11">
        <f>DAY(Tabela5[[#This Row],[Data]])</f>
        <v>26</v>
      </c>
      <c r="G2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49" spans="1:7">
      <c r="A249" s="11" t="s">
        <v>5</v>
      </c>
      <c r="B249" s="12">
        <v>44312</v>
      </c>
      <c r="C249" s="1" t="s">
        <v>14</v>
      </c>
      <c r="D249" s="1" t="s">
        <v>47</v>
      </c>
      <c r="E249" s="13">
        <v>2</v>
      </c>
      <c r="F249" s="11">
        <f>DAY(Tabela5[[#This Row],[Data]])</f>
        <v>26</v>
      </c>
      <c r="G2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50" spans="1:7">
      <c r="A250" s="11" t="s">
        <v>5</v>
      </c>
      <c r="B250" s="12">
        <v>44312</v>
      </c>
      <c r="C250" s="1" t="s">
        <v>14</v>
      </c>
      <c r="D250" s="1" t="s">
        <v>46</v>
      </c>
      <c r="E250" s="13">
        <v>2</v>
      </c>
      <c r="F250" s="11">
        <f>DAY(Tabela5[[#This Row],[Data]])</f>
        <v>26</v>
      </c>
      <c r="G2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51" spans="1:7">
      <c r="A251" s="11" t="s">
        <v>5</v>
      </c>
      <c r="B251" s="12">
        <v>44313</v>
      </c>
      <c r="C251" s="1" t="s">
        <v>14</v>
      </c>
      <c r="D251" s="1" t="s">
        <v>47</v>
      </c>
      <c r="E251" s="13">
        <v>2</v>
      </c>
      <c r="F251" s="11">
        <f>DAY(Tabela5[[#This Row],[Data]])</f>
        <v>27</v>
      </c>
      <c r="G2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52" spans="1:7">
      <c r="A252" s="11" t="s">
        <v>5</v>
      </c>
      <c r="B252" s="12">
        <v>44313</v>
      </c>
      <c r="C252" s="1" t="s">
        <v>14</v>
      </c>
      <c r="D252" s="1" t="s">
        <v>46</v>
      </c>
      <c r="E252" s="13">
        <v>1</v>
      </c>
      <c r="F252" s="11">
        <f>DAY(Tabela5[[#This Row],[Data]])</f>
        <v>27</v>
      </c>
      <c r="G2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53" spans="1:7">
      <c r="A253" s="11" t="s">
        <v>5</v>
      </c>
      <c r="B253" s="12">
        <v>44313</v>
      </c>
      <c r="C253" s="1" t="s">
        <v>14</v>
      </c>
      <c r="D253" s="1" t="s">
        <v>47</v>
      </c>
      <c r="E253" s="13">
        <v>2</v>
      </c>
      <c r="F253" s="11">
        <f>DAY(Tabela5[[#This Row],[Data]])</f>
        <v>27</v>
      </c>
      <c r="G2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54" spans="1:7">
      <c r="A254" s="11" t="s">
        <v>5</v>
      </c>
      <c r="B254" s="12">
        <v>44314</v>
      </c>
      <c r="C254" s="1" t="s">
        <v>14</v>
      </c>
      <c r="D254" s="1" t="s">
        <v>46</v>
      </c>
      <c r="E254" s="13">
        <v>1</v>
      </c>
      <c r="F254" s="11">
        <f>DAY(Tabela5[[#This Row],[Data]])</f>
        <v>28</v>
      </c>
      <c r="G2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55" spans="1:7">
      <c r="A255" s="11" t="s">
        <v>5</v>
      </c>
      <c r="B255" s="12">
        <v>44314</v>
      </c>
      <c r="C255" s="1" t="s">
        <v>14</v>
      </c>
      <c r="D255" s="1" t="s">
        <v>47</v>
      </c>
      <c r="E255" s="13">
        <v>1</v>
      </c>
      <c r="F255" s="11">
        <f>DAY(Tabela5[[#This Row],[Data]])</f>
        <v>28</v>
      </c>
      <c r="G2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56" spans="1:7">
      <c r="A256" s="11" t="s">
        <v>5</v>
      </c>
      <c r="B256" s="12">
        <v>44314</v>
      </c>
      <c r="C256" s="1" t="s">
        <v>14</v>
      </c>
      <c r="D256" s="1" t="s">
        <v>46</v>
      </c>
      <c r="E256" s="13">
        <v>2</v>
      </c>
      <c r="F256" s="11">
        <f>DAY(Tabela5[[#This Row],[Data]])</f>
        <v>28</v>
      </c>
      <c r="G2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57" spans="1:7">
      <c r="A257" s="11" t="s">
        <v>5</v>
      </c>
      <c r="B257" s="12">
        <v>44315</v>
      </c>
      <c r="C257" s="1" t="s">
        <v>14</v>
      </c>
      <c r="D257" s="1" t="s">
        <v>47</v>
      </c>
      <c r="E257" s="13">
        <v>1</v>
      </c>
      <c r="F257" s="11">
        <f>DAY(Tabela5[[#This Row],[Data]])</f>
        <v>29</v>
      </c>
      <c r="G2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58" spans="1:7">
      <c r="A258" s="11" t="s">
        <v>5</v>
      </c>
      <c r="B258" s="12">
        <v>44315</v>
      </c>
      <c r="C258" s="1" t="s">
        <v>14</v>
      </c>
      <c r="D258" s="1" t="s">
        <v>46</v>
      </c>
      <c r="E258" s="13">
        <v>2</v>
      </c>
      <c r="F258" s="11">
        <f>DAY(Tabela5[[#This Row],[Data]])</f>
        <v>29</v>
      </c>
      <c r="G2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59" spans="1:7">
      <c r="A259" s="11" t="s">
        <v>5</v>
      </c>
      <c r="B259" s="12">
        <v>44315</v>
      </c>
      <c r="C259" s="1" t="s">
        <v>14</v>
      </c>
      <c r="D259" s="1" t="s">
        <v>47</v>
      </c>
      <c r="E259" s="13">
        <v>1</v>
      </c>
      <c r="F259" s="11">
        <f>DAY(Tabela5[[#This Row],[Data]])</f>
        <v>29</v>
      </c>
      <c r="G2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60" spans="1:7">
      <c r="A260" s="11" t="s">
        <v>5</v>
      </c>
      <c r="B260" s="12">
        <v>44316</v>
      </c>
      <c r="C260" s="1" t="s">
        <v>14</v>
      </c>
      <c r="D260" s="1" t="s">
        <v>46</v>
      </c>
      <c r="E260" s="13">
        <v>1</v>
      </c>
      <c r="F260" s="11">
        <f>DAY(Tabela5[[#This Row],[Data]])</f>
        <v>30</v>
      </c>
      <c r="G2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61" spans="1:7">
      <c r="A261" s="11" t="s">
        <v>5</v>
      </c>
      <c r="B261" s="12">
        <v>44316</v>
      </c>
      <c r="C261" s="1" t="s">
        <v>14</v>
      </c>
      <c r="D261" s="1" t="s">
        <v>47</v>
      </c>
      <c r="E261" s="13">
        <v>1</v>
      </c>
      <c r="F261" s="11">
        <f>DAY(Tabela5[[#This Row],[Data]])</f>
        <v>30</v>
      </c>
      <c r="G2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62" spans="1:7">
      <c r="A262" s="11" t="s">
        <v>5</v>
      </c>
      <c r="B262" s="12">
        <v>44316</v>
      </c>
      <c r="C262" s="1" t="s">
        <v>14</v>
      </c>
      <c r="D262" s="1" t="s">
        <v>46</v>
      </c>
      <c r="E262" s="13">
        <v>1</v>
      </c>
      <c r="F262" s="11">
        <f>DAY(Tabela5[[#This Row],[Data]])</f>
        <v>30</v>
      </c>
      <c r="G2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63" spans="1:7">
      <c r="A263" s="11" t="s">
        <v>5</v>
      </c>
      <c r="B263" s="12">
        <v>44287</v>
      </c>
      <c r="C263" s="1" t="s">
        <v>34</v>
      </c>
      <c r="D263" s="1" t="s">
        <v>47</v>
      </c>
      <c r="E263" s="13">
        <v>1</v>
      </c>
      <c r="F263" s="11">
        <f>DAY(Tabela5[[#This Row],[Data]])</f>
        <v>1</v>
      </c>
      <c r="G2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64" spans="1:7">
      <c r="A264" s="11" t="s">
        <v>5</v>
      </c>
      <c r="B264" s="12">
        <v>44287</v>
      </c>
      <c r="C264" s="1" t="s">
        <v>34</v>
      </c>
      <c r="D264" s="1" t="s">
        <v>46</v>
      </c>
      <c r="E264" s="13">
        <v>1</v>
      </c>
      <c r="F264" s="11">
        <f>DAY(Tabela5[[#This Row],[Data]])</f>
        <v>1</v>
      </c>
      <c r="G2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65" spans="1:7">
      <c r="A265" s="11" t="s">
        <v>5</v>
      </c>
      <c r="B265" s="12">
        <v>44287</v>
      </c>
      <c r="C265" s="1" t="s">
        <v>34</v>
      </c>
      <c r="D265" s="1" t="s">
        <v>47</v>
      </c>
      <c r="E265" s="13">
        <v>1</v>
      </c>
      <c r="F265" s="11">
        <f>DAY(Tabela5[[#This Row],[Data]])</f>
        <v>1</v>
      </c>
      <c r="G2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66" spans="1:7">
      <c r="A266" s="11" t="s">
        <v>5</v>
      </c>
      <c r="B266" s="12">
        <v>44289</v>
      </c>
      <c r="C266" s="1" t="s">
        <v>34</v>
      </c>
      <c r="D266" s="1" t="s">
        <v>46</v>
      </c>
      <c r="E266" s="13">
        <v>1</v>
      </c>
      <c r="F266" s="11">
        <f>DAY(Tabela5[[#This Row],[Data]])</f>
        <v>3</v>
      </c>
      <c r="G2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267" spans="1:7">
      <c r="A267" s="11" t="s">
        <v>5</v>
      </c>
      <c r="B267" s="12">
        <v>44289</v>
      </c>
      <c r="C267" s="1" t="s">
        <v>34</v>
      </c>
      <c r="D267" s="1" t="s">
        <v>47</v>
      </c>
      <c r="E267" s="13">
        <v>1</v>
      </c>
      <c r="F267" s="11">
        <f>DAY(Tabela5[[#This Row],[Data]])</f>
        <v>3</v>
      </c>
      <c r="G2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268" spans="1:7">
      <c r="A268" s="11" t="s">
        <v>5</v>
      </c>
      <c r="B268" s="12">
        <v>44290</v>
      </c>
      <c r="C268" s="1" t="s">
        <v>34</v>
      </c>
      <c r="D268" s="1" t="s">
        <v>46</v>
      </c>
      <c r="E268" s="13">
        <v>1</v>
      </c>
      <c r="F268" s="11">
        <f>DAY(Tabela5[[#This Row],[Data]])</f>
        <v>4</v>
      </c>
      <c r="G2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269" spans="1:7">
      <c r="A269" s="11" t="s">
        <v>5</v>
      </c>
      <c r="B269" s="12">
        <v>44291</v>
      </c>
      <c r="C269" s="1" t="s">
        <v>34</v>
      </c>
      <c r="D269" s="1" t="s">
        <v>47</v>
      </c>
      <c r="E269" s="13">
        <v>1</v>
      </c>
      <c r="F269" s="11">
        <f>DAY(Tabela5[[#This Row],[Data]])</f>
        <v>5</v>
      </c>
      <c r="G2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70" spans="1:7">
      <c r="A270" s="11" t="s">
        <v>5</v>
      </c>
      <c r="B270" s="12">
        <v>44295</v>
      </c>
      <c r="C270" s="1" t="s">
        <v>34</v>
      </c>
      <c r="D270" s="1" t="s">
        <v>46</v>
      </c>
      <c r="E270" s="13">
        <v>2</v>
      </c>
      <c r="F270" s="11">
        <f>DAY(Tabela5[[#This Row],[Data]])</f>
        <v>9</v>
      </c>
      <c r="G2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71" spans="1:7">
      <c r="A271" s="11" t="s">
        <v>5</v>
      </c>
      <c r="B271" s="12">
        <v>44296</v>
      </c>
      <c r="C271" s="1" t="s">
        <v>34</v>
      </c>
      <c r="D271" s="1" t="s">
        <v>47</v>
      </c>
      <c r="E271" s="13">
        <v>2</v>
      </c>
      <c r="F271" s="11">
        <f>DAY(Tabela5[[#This Row],[Data]])</f>
        <v>10</v>
      </c>
      <c r="G2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272" spans="1:7">
      <c r="A272" s="11" t="s">
        <v>5</v>
      </c>
      <c r="B272" s="12">
        <v>44297</v>
      </c>
      <c r="C272" s="1" t="s">
        <v>34</v>
      </c>
      <c r="D272" s="1" t="s">
        <v>46</v>
      </c>
      <c r="E272" s="13">
        <v>2</v>
      </c>
      <c r="F272" s="11">
        <f>DAY(Tabela5[[#This Row],[Data]])</f>
        <v>11</v>
      </c>
      <c r="G2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273" spans="1:7">
      <c r="A273" s="11" t="s">
        <v>5</v>
      </c>
      <c r="B273" s="12">
        <v>44298</v>
      </c>
      <c r="C273" s="1" t="s">
        <v>34</v>
      </c>
      <c r="D273" s="1" t="s">
        <v>47</v>
      </c>
      <c r="E273" s="13">
        <v>2</v>
      </c>
      <c r="F273" s="11">
        <f>DAY(Tabela5[[#This Row],[Data]])</f>
        <v>12</v>
      </c>
      <c r="G2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74" spans="1:7">
      <c r="A274" s="11" t="s">
        <v>5</v>
      </c>
      <c r="B274" s="12">
        <v>44299</v>
      </c>
      <c r="C274" s="1" t="s">
        <v>34</v>
      </c>
      <c r="D274" s="1" t="s">
        <v>46</v>
      </c>
      <c r="E274" s="13">
        <v>2</v>
      </c>
      <c r="F274" s="11">
        <f>DAY(Tabela5[[#This Row],[Data]])</f>
        <v>13</v>
      </c>
      <c r="G2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75" spans="1:7">
      <c r="A275" s="11" t="s">
        <v>5</v>
      </c>
      <c r="B275" s="12">
        <v>44300</v>
      </c>
      <c r="C275" s="1" t="s">
        <v>34</v>
      </c>
      <c r="D275" s="1" t="s">
        <v>47</v>
      </c>
      <c r="E275" s="13">
        <v>1</v>
      </c>
      <c r="F275" s="11">
        <f>DAY(Tabela5[[#This Row],[Data]])</f>
        <v>14</v>
      </c>
      <c r="G2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76" spans="1:7">
      <c r="A276" s="11" t="s">
        <v>5</v>
      </c>
      <c r="B276" s="12">
        <v>44300</v>
      </c>
      <c r="C276" s="1" t="s">
        <v>34</v>
      </c>
      <c r="D276" s="1" t="s">
        <v>46</v>
      </c>
      <c r="E276" s="13">
        <v>1</v>
      </c>
      <c r="F276" s="11">
        <f>DAY(Tabela5[[#This Row],[Data]])</f>
        <v>14</v>
      </c>
      <c r="G2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77" spans="1:7">
      <c r="A277" s="11" t="s">
        <v>5</v>
      </c>
      <c r="B277" s="12">
        <v>44300</v>
      </c>
      <c r="C277" s="1" t="s">
        <v>34</v>
      </c>
      <c r="D277" s="1" t="s">
        <v>47</v>
      </c>
      <c r="E277" s="13">
        <v>1</v>
      </c>
      <c r="F277" s="11">
        <f>DAY(Tabela5[[#This Row],[Data]])</f>
        <v>14</v>
      </c>
      <c r="G2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78" spans="1:7">
      <c r="A278" s="11" t="s">
        <v>5</v>
      </c>
      <c r="B278" s="12">
        <v>44304</v>
      </c>
      <c r="C278" s="1" t="s">
        <v>34</v>
      </c>
      <c r="D278" s="1" t="s">
        <v>46</v>
      </c>
      <c r="E278" s="13">
        <v>1</v>
      </c>
      <c r="F278" s="11">
        <f>DAY(Tabela5[[#This Row],[Data]])</f>
        <v>18</v>
      </c>
      <c r="G2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279" spans="1:7">
      <c r="A279" s="11" t="s">
        <v>5</v>
      </c>
      <c r="B279" s="12">
        <v>44304</v>
      </c>
      <c r="C279" s="1" t="s">
        <v>34</v>
      </c>
      <c r="D279" s="1" t="s">
        <v>47</v>
      </c>
      <c r="E279" s="13">
        <v>2</v>
      </c>
      <c r="F279" s="11">
        <f>DAY(Tabela5[[#This Row],[Data]])</f>
        <v>18</v>
      </c>
      <c r="G2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280" spans="1:7">
      <c r="A280" s="11" t="s">
        <v>5</v>
      </c>
      <c r="B280" s="12">
        <v>44305</v>
      </c>
      <c r="C280" s="1" t="s">
        <v>34</v>
      </c>
      <c r="D280" s="1" t="s">
        <v>46</v>
      </c>
      <c r="E280" s="13">
        <v>2</v>
      </c>
      <c r="F280" s="11">
        <f>DAY(Tabela5[[#This Row],[Data]])</f>
        <v>19</v>
      </c>
      <c r="G2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281" spans="1:7">
      <c r="A281" s="11" t="s">
        <v>5</v>
      </c>
      <c r="B281" s="12">
        <v>44306</v>
      </c>
      <c r="C281" s="1" t="s">
        <v>34</v>
      </c>
      <c r="D281" s="1" t="s">
        <v>47</v>
      </c>
      <c r="E281" s="13">
        <v>2</v>
      </c>
      <c r="F281" s="11">
        <f>DAY(Tabela5[[#This Row],[Data]])</f>
        <v>20</v>
      </c>
      <c r="G2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82" spans="1:7">
      <c r="A282" s="11" t="s">
        <v>5</v>
      </c>
      <c r="B282" s="12">
        <v>44306</v>
      </c>
      <c r="C282" s="1" t="s">
        <v>34</v>
      </c>
      <c r="D282" s="1" t="s">
        <v>46</v>
      </c>
      <c r="E282" s="13">
        <v>1</v>
      </c>
      <c r="F282" s="11">
        <f>DAY(Tabela5[[#This Row],[Data]])</f>
        <v>20</v>
      </c>
      <c r="G2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83" spans="1:7">
      <c r="A283" s="11" t="s">
        <v>5</v>
      </c>
      <c r="B283" s="12">
        <v>44306</v>
      </c>
      <c r="C283" s="1" t="s">
        <v>34</v>
      </c>
      <c r="D283" s="1" t="s">
        <v>47</v>
      </c>
      <c r="E283" s="13">
        <v>2</v>
      </c>
      <c r="F283" s="11">
        <f>DAY(Tabela5[[#This Row],[Data]])</f>
        <v>20</v>
      </c>
      <c r="G2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84" spans="1:7">
      <c r="A284" s="11" t="s">
        <v>5</v>
      </c>
      <c r="B284" s="12">
        <v>44307</v>
      </c>
      <c r="C284" s="1" t="s">
        <v>34</v>
      </c>
      <c r="D284" s="1" t="s">
        <v>46</v>
      </c>
      <c r="E284" s="13">
        <v>2</v>
      </c>
      <c r="F284" s="11">
        <f>DAY(Tabela5[[#This Row],[Data]])</f>
        <v>21</v>
      </c>
      <c r="G2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85" spans="1:7">
      <c r="A285" s="11" t="s">
        <v>5</v>
      </c>
      <c r="B285" s="12">
        <v>44307</v>
      </c>
      <c r="C285" s="1" t="s">
        <v>34</v>
      </c>
      <c r="D285" s="1" t="s">
        <v>47</v>
      </c>
      <c r="E285" s="13">
        <v>1</v>
      </c>
      <c r="F285" s="11">
        <f>DAY(Tabela5[[#This Row],[Data]])</f>
        <v>21</v>
      </c>
      <c r="G2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86" spans="1:7">
      <c r="A286" s="11" t="s">
        <v>5</v>
      </c>
      <c r="B286" s="12">
        <v>44308</v>
      </c>
      <c r="C286" s="1" t="s">
        <v>34</v>
      </c>
      <c r="D286" s="1" t="s">
        <v>46</v>
      </c>
      <c r="E286" s="13">
        <v>2</v>
      </c>
      <c r="F286" s="11">
        <f>DAY(Tabela5[[#This Row],[Data]])</f>
        <v>22</v>
      </c>
      <c r="G2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87" spans="1:7">
      <c r="A287" s="11" t="s">
        <v>5</v>
      </c>
      <c r="B287" s="12">
        <v>44308</v>
      </c>
      <c r="C287" s="1" t="s">
        <v>34</v>
      </c>
      <c r="D287" s="1" t="s">
        <v>47</v>
      </c>
      <c r="E287" s="13">
        <v>2</v>
      </c>
      <c r="F287" s="11">
        <f>DAY(Tabela5[[#This Row],[Data]])</f>
        <v>22</v>
      </c>
      <c r="G2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88" spans="1:7">
      <c r="A288" s="11" t="s">
        <v>5</v>
      </c>
      <c r="B288" s="12">
        <v>44308</v>
      </c>
      <c r="C288" s="1" t="s">
        <v>34</v>
      </c>
      <c r="D288" s="1" t="s">
        <v>46</v>
      </c>
      <c r="E288" s="13">
        <v>2</v>
      </c>
      <c r="F288" s="11">
        <f>DAY(Tabela5[[#This Row],[Data]])</f>
        <v>22</v>
      </c>
      <c r="G2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89" spans="1:7">
      <c r="A289" s="11" t="s">
        <v>5</v>
      </c>
      <c r="B289" s="12">
        <v>44309</v>
      </c>
      <c r="C289" s="1" t="s">
        <v>34</v>
      </c>
      <c r="D289" s="1" t="s">
        <v>47</v>
      </c>
      <c r="E289" s="13">
        <v>2</v>
      </c>
      <c r="F289" s="11">
        <f>DAY(Tabela5[[#This Row],[Data]])</f>
        <v>23</v>
      </c>
      <c r="G2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90" spans="1:7">
      <c r="A290" s="11" t="s">
        <v>5</v>
      </c>
      <c r="B290" s="12">
        <v>44313</v>
      </c>
      <c r="C290" s="1" t="s">
        <v>34</v>
      </c>
      <c r="D290" s="1" t="s">
        <v>46</v>
      </c>
      <c r="E290" s="13">
        <v>1</v>
      </c>
      <c r="F290" s="11">
        <f>DAY(Tabela5[[#This Row],[Data]])</f>
        <v>27</v>
      </c>
      <c r="G2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91" spans="1:7">
      <c r="A291" s="11" t="s">
        <v>5</v>
      </c>
      <c r="B291" s="12">
        <v>44313</v>
      </c>
      <c r="C291" s="1" t="s">
        <v>34</v>
      </c>
      <c r="D291" s="1" t="s">
        <v>47</v>
      </c>
      <c r="E291" s="13">
        <v>2</v>
      </c>
      <c r="F291" s="11">
        <f>DAY(Tabela5[[#This Row],[Data]])</f>
        <v>27</v>
      </c>
      <c r="G2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92" spans="1:7">
      <c r="A292" s="11" t="s">
        <v>5</v>
      </c>
      <c r="B292" s="12">
        <v>44313</v>
      </c>
      <c r="C292" s="1" t="s">
        <v>34</v>
      </c>
      <c r="D292" s="1" t="s">
        <v>46</v>
      </c>
      <c r="E292" s="13">
        <v>2</v>
      </c>
      <c r="F292" s="11">
        <f>DAY(Tabela5[[#This Row],[Data]])</f>
        <v>27</v>
      </c>
      <c r="G2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293" spans="1:7">
      <c r="A293" s="11" t="s">
        <v>5</v>
      </c>
      <c r="B293" s="12">
        <v>44314</v>
      </c>
      <c r="C293" s="1" t="s">
        <v>34</v>
      </c>
      <c r="D293" s="1" t="s">
        <v>47</v>
      </c>
      <c r="E293" s="13">
        <v>2</v>
      </c>
      <c r="F293" s="11">
        <f>DAY(Tabela5[[#This Row],[Data]])</f>
        <v>28</v>
      </c>
      <c r="G2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294" spans="1:7">
      <c r="A294" s="11" t="s">
        <v>5</v>
      </c>
      <c r="B294" s="12">
        <v>44315</v>
      </c>
      <c r="C294" s="1" t="s">
        <v>34</v>
      </c>
      <c r="D294" s="1" t="s">
        <v>46</v>
      </c>
      <c r="E294" s="13">
        <v>2</v>
      </c>
      <c r="F294" s="11">
        <f>DAY(Tabela5[[#This Row],[Data]])</f>
        <v>29</v>
      </c>
      <c r="G2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95" spans="1:7">
      <c r="A295" s="11" t="s">
        <v>5</v>
      </c>
      <c r="B295" s="12">
        <v>44315</v>
      </c>
      <c r="C295" s="1" t="s">
        <v>34</v>
      </c>
      <c r="D295" s="1" t="s">
        <v>47</v>
      </c>
      <c r="E295" s="13">
        <v>1</v>
      </c>
      <c r="F295" s="11">
        <f>DAY(Tabela5[[#This Row],[Data]])</f>
        <v>29</v>
      </c>
      <c r="G2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96" spans="1:7">
      <c r="A296" s="11" t="s">
        <v>5</v>
      </c>
      <c r="B296" s="12">
        <v>44315</v>
      </c>
      <c r="C296" s="1" t="s">
        <v>34</v>
      </c>
      <c r="D296" s="1" t="s">
        <v>47</v>
      </c>
      <c r="E296" s="13">
        <v>2</v>
      </c>
      <c r="F296" s="11">
        <f>DAY(Tabela5[[#This Row],[Data]])</f>
        <v>29</v>
      </c>
      <c r="G2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297" spans="1:7">
      <c r="A297" s="11" t="s">
        <v>5</v>
      </c>
      <c r="B297" s="12">
        <v>44316</v>
      </c>
      <c r="C297" s="1" t="s">
        <v>34</v>
      </c>
      <c r="D297" s="1" t="s">
        <v>47</v>
      </c>
      <c r="E297" s="13">
        <v>1</v>
      </c>
      <c r="F297" s="11">
        <f>DAY(Tabela5[[#This Row],[Data]])</f>
        <v>30</v>
      </c>
      <c r="G2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98" spans="1:7">
      <c r="A298" s="11" t="s">
        <v>5</v>
      </c>
      <c r="B298" s="12">
        <v>44316</v>
      </c>
      <c r="C298" s="1" t="s">
        <v>34</v>
      </c>
      <c r="D298" s="1" t="s">
        <v>47</v>
      </c>
      <c r="E298" s="13">
        <v>1</v>
      </c>
      <c r="F298" s="11">
        <f>DAY(Tabela5[[#This Row],[Data]])</f>
        <v>30</v>
      </c>
      <c r="G2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299" spans="1:7">
      <c r="A299" s="11" t="s">
        <v>5</v>
      </c>
      <c r="B299" s="12">
        <v>44316</v>
      </c>
      <c r="C299" s="1" t="s">
        <v>34</v>
      </c>
      <c r="D299" s="1" t="s">
        <v>47</v>
      </c>
      <c r="E299" s="13">
        <v>1</v>
      </c>
      <c r="F299" s="11">
        <f>DAY(Tabela5[[#This Row],[Data]])</f>
        <v>30</v>
      </c>
      <c r="G2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00" spans="1:7">
      <c r="A300" s="11" t="s">
        <v>5</v>
      </c>
      <c r="B300" s="12">
        <v>44287</v>
      </c>
      <c r="C300" s="1" t="s">
        <v>35</v>
      </c>
      <c r="D300" s="1" t="s">
        <v>47</v>
      </c>
      <c r="E300" s="13">
        <v>2</v>
      </c>
      <c r="F300" s="11">
        <f>DAY(Tabela5[[#This Row],[Data]])</f>
        <v>1</v>
      </c>
      <c r="G3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01" spans="1:7">
      <c r="A301" s="11" t="s">
        <v>5</v>
      </c>
      <c r="B301" s="12">
        <v>44291</v>
      </c>
      <c r="C301" s="1" t="s">
        <v>35</v>
      </c>
      <c r="D301" s="1" t="s">
        <v>47</v>
      </c>
      <c r="E301" s="13">
        <v>2</v>
      </c>
      <c r="F301" s="11">
        <f>DAY(Tabela5[[#This Row],[Data]])</f>
        <v>5</v>
      </c>
      <c r="G3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02" spans="1:7">
      <c r="A302" s="11" t="s">
        <v>5</v>
      </c>
      <c r="B302" s="12">
        <v>44292</v>
      </c>
      <c r="C302" s="1" t="s">
        <v>35</v>
      </c>
      <c r="D302" s="1" t="s">
        <v>47</v>
      </c>
      <c r="E302" s="13">
        <v>2</v>
      </c>
      <c r="F302" s="11">
        <f>DAY(Tabela5[[#This Row],[Data]])</f>
        <v>6</v>
      </c>
      <c r="G3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03" spans="1:7">
      <c r="A303" s="11" t="s">
        <v>6</v>
      </c>
      <c r="B303" s="12">
        <v>44293</v>
      </c>
      <c r="C303" s="1" t="s">
        <v>35</v>
      </c>
      <c r="D303" s="1" t="s">
        <v>47</v>
      </c>
      <c r="E303" s="13">
        <v>2</v>
      </c>
      <c r="F303" s="11">
        <f>DAY(Tabela5[[#This Row],[Data]])</f>
        <v>7</v>
      </c>
      <c r="G3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04" spans="1:7">
      <c r="A304" s="11" t="s">
        <v>6</v>
      </c>
      <c r="B304" s="12">
        <v>44294</v>
      </c>
      <c r="C304" s="1" t="s">
        <v>35</v>
      </c>
      <c r="D304" s="1" t="s">
        <v>47</v>
      </c>
      <c r="E304" s="13">
        <v>1</v>
      </c>
      <c r="F304" s="11">
        <f>DAY(Tabela5[[#This Row],[Data]])</f>
        <v>8</v>
      </c>
      <c r="G3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05" spans="1:7">
      <c r="A305" s="11" t="s">
        <v>6</v>
      </c>
      <c r="B305" s="12">
        <v>44295</v>
      </c>
      <c r="C305" s="1" t="s">
        <v>35</v>
      </c>
      <c r="D305" s="1" t="s">
        <v>47</v>
      </c>
      <c r="E305" s="13">
        <v>1</v>
      </c>
      <c r="F305" s="11">
        <f>DAY(Tabela5[[#This Row],[Data]])</f>
        <v>9</v>
      </c>
      <c r="G3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06" spans="1:7">
      <c r="A306" s="11" t="s">
        <v>6</v>
      </c>
      <c r="B306" s="12">
        <v>44298</v>
      </c>
      <c r="C306" s="1" t="s">
        <v>35</v>
      </c>
      <c r="D306" s="1" t="s">
        <v>47</v>
      </c>
      <c r="E306" s="13">
        <v>1</v>
      </c>
      <c r="F306" s="11">
        <f>DAY(Tabela5[[#This Row],[Data]])</f>
        <v>12</v>
      </c>
      <c r="G3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07" spans="1:7">
      <c r="A307" s="11" t="s">
        <v>6</v>
      </c>
      <c r="B307" s="12">
        <v>44299</v>
      </c>
      <c r="C307" s="1" t="s">
        <v>35</v>
      </c>
      <c r="D307" s="1" t="s">
        <v>47</v>
      </c>
      <c r="E307" s="13">
        <v>1</v>
      </c>
      <c r="F307" s="11">
        <f>DAY(Tabela5[[#This Row],[Data]])</f>
        <v>13</v>
      </c>
      <c r="G3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08" spans="1:7">
      <c r="A308" s="11" t="s">
        <v>6</v>
      </c>
      <c r="B308" s="12">
        <v>44299</v>
      </c>
      <c r="C308" s="1" t="s">
        <v>35</v>
      </c>
      <c r="D308" s="1" t="s">
        <v>47</v>
      </c>
      <c r="E308" s="13">
        <v>1</v>
      </c>
      <c r="F308" s="11">
        <f>DAY(Tabela5[[#This Row],[Data]])</f>
        <v>13</v>
      </c>
      <c r="G3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09" spans="1:7">
      <c r="A309" s="11" t="s">
        <v>6</v>
      </c>
      <c r="B309" s="12">
        <v>44305</v>
      </c>
      <c r="C309" s="1" t="s">
        <v>35</v>
      </c>
      <c r="D309" s="1" t="s">
        <v>47</v>
      </c>
      <c r="E309" s="13">
        <v>2</v>
      </c>
      <c r="F309" s="11">
        <f>DAY(Tabela5[[#This Row],[Data]])</f>
        <v>19</v>
      </c>
      <c r="G3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10" spans="1:7">
      <c r="A310" s="11" t="s">
        <v>6</v>
      </c>
      <c r="B310" s="12">
        <v>44305</v>
      </c>
      <c r="C310" s="1" t="s">
        <v>35</v>
      </c>
      <c r="D310" s="1" t="s">
        <v>47</v>
      </c>
      <c r="E310" s="13">
        <v>1</v>
      </c>
      <c r="F310" s="11">
        <f>DAY(Tabela5[[#This Row],[Data]])</f>
        <v>19</v>
      </c>
      <c r="G3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11" spans="1:7">
      <c r="A311" s="11" t="s">
        <v>6</v>
      </c>
      <c r="B311" s="12">
        <v>44309</v>
      </c>
      <c r="C311" s="1" t="s">
        <v>35</v>
      </c>
      <c r="D311" s="1" t="s">
        <v>47</v>
      </c>
      <c r="E311" s="13">
        <v>1</v>
      </c>
      <c r="F311" s="11">
        <f>DAY(Tabela5[[#This Row],[Data]])</f>
        <v>23</v>
      </c>
      <c r="G3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12" spans="1:7">
      <c r="A312" s="11" t="s">
        <v>6</v>
      </c>
      <c r="B312" s="12">
        <v>44312</v>
      </c>
      <c r="C312" s="1" t="s">
        <v>35</v>
      </c>
      <c r="D312" s="1" t="s">
        <v>47</v>
      </c>
      <c r="E312" s="13">
        <v>1</v>
      </c>
      <c r="F312" s="11">
        <f>DAY(Tabela5[[#This Row],[Data]])</f>
        <v>26</v>
      </c>
      <c r="G3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13" spans="1:7">
      <c r="A313" s="11" t="s">
        <v>6</v>
      </c>
      <c r="B313" s="12">
        <v>44313</v>
      </c>
      <c r="C313" s="1" t="s">
        <v>35</v>
      </c>
      <c r="D313" s="1" t="s">
        <v>47</v>
      </c>
      <c r="E313" s="13">
        <v>1</v>
      </c>
      <c r="F313" s="11">
        <f>DAY(Tabela5[[#This Row],[Data]])</f>
        <v>27</v>
      </c>
      <c r="G3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14" spans="1:7">
      <c r="A314" s="11" t="s">
        <v>6</v>
      </c>
      <c r="B314" s="12">
        <v>44314</v>
      </c>
      <c r="C314" s="1" t="s">
        <v>35</v>
      </c>
      <c r="D314" s="1" t="s">
        <v>47</v>
      </c>
      <c r="E314" s="13">
        <v>2</v>
      </c>
      <c r="F314" s="11">
        <f>DAY(Tabela5[[#This Row],[Data]])</f>
        <v>28</v>
      </c>
      <c r="G3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15" spans="1:7">
      <c r="A315" s="11" t="s">
        <v>6</v>
      </c>
      <c r="B315" s="12">
        <v>44315</v>
      </c>
      <c r="C315" s="1" t="s">
        <v>35</v>
      </c>
      <c r="D315" s="1" t="s">
        <v>47</v>
      </c>
      <c r="E315" s="13">
        <v>1</v>
      </c>
      <c r="F315" s="11">
        <f>DAY(Tabela5[[#This Row],[Data]])</f>
        <v>29</v>
      </c>
      <c r="G3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16" spans="1:7">
      <c r="A316" s="11" t="s">
        <v>6</v>
      </c>
      <c r="B316" s="12">
        <v>44316</v>
      </c>
      <c r="C316" s="1" t="s">
        <v>35</v>
      </c>
      <c r="D316" s="1" t="s">
        <v>47</v>
      </c>
      <c r="E316" s="13">
        <v>2</v>
      </c>
      <c r="F316" s="11">
        <f>DAY(Tabela5[[#This Row],[Data]])</f>
        <v>30</v>
      </c>
      <c r="G3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17" spans="1:7">
      <c r="A317" s="11" t="s">
        <v>6</v>
      </c>
      <c r="B317" s="12">
        <v>44316</v>
      </c>
      <c r="C317" s="1" t="s">
        <v>35</v>
      </c>
      <c r="D317" s="1" t="s">
        <v>47</v>
      </c>
      <c r="E317" s="13">
        <v>1</v>
      </c>
      <c r="F317" s="11">
        <f>DAY(Tabela5[[#This Row],[Data]])</f>
        <v>30</v>
      </c>
      <c r="G3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18" spans="1:7">
      <c r="A318" s="11" t="s">
        <v>6</v>
      </c>
      <c r="B318" s="12">
        <v>44287</v>
      </c>
      <c r="C318" s="1" t="s">
        <v>9</v>
      </c>
      <c r="D318" s="1" t="s">
        <v>47</v>
      </c>
      <c r="E318" s="13">
        <v>1</v>
      </c>
      <c r="F318" s="11">
        <f>DAY(Tabela5[[#This Row],[Data]])</f>
        <v>1</v>
      </c>
      <c r="G3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19" spans="1:7">
      <c r="A319" s="11" t="s">
        <v>6</v>
      </c>
      <c r="B319" s="12">
        <v>44287</v>
      </c>
      <c r="C319" s="1" t="s">
        <v>9</v>
      </c>
      <c r="D319" s="1" t="s">
        <v>47</v>
      </c>
      <c r="E319" s="13">
        <v>2</v>
      </c>
      <c r="F319" s="11">
        <f>DAY(Tabela5[[#This Row],[Data]])</f>
        <v>1</v>
      </c>
      <c r="G3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20" spans="1:7">
      <c r="A320" s="11" t="s">
        <v>6</v>
      </c>
      <c r="B320" s="12">
        <v>44291</v>
      </c>
      <c r="C320" s="1" t="s">
        <v>9</v>
      </c>
      <c r="D320" s="1" t="s">
        <v>47</v>
      </c>
      <c r="E320" s="13">
        <v>1</v>
      </c>
      <c r="F320" s="11">
        <f>DAY(Tabela5[[#This Row],[Data]])</f>
        <v>5</v>
      </c>
      <c r="G3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21" spans="1:7">
      <c r="A321" s="11" t="s">
        <v>6</v>
      </c>
      <c r="B321" s="12">
        <v>44291</v>
      </c>
      <c r="C321" s="1" t="s">
        <v>9</v>
      </c>
      <c r="D321" s="1" t="s">
        <v>47</v>
      </c>
      <c r="E321" s="13">
        <v>1</v>
      </c>
      <c r="F321" s="11">
        <f>DAY(Tabela5[[#This Row],[Data]])</f>
        <v>5</v>
      </c>
      <c r="G3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22" spans="1:7">
      <c r="A322" s="11" t="s">
        <v>6</v>
      </c>
      <c r="B322" s="12">
        <v>44291</v>
      </c>
      <c r="C322" s="1" t="s">
        <v>9</v>
      </c>
      <c r="D322" s="1" t="s">
        <v>47</v>
      </c>
      <c r="E322" s="13">
        <v>2</v>
      </c>
      <c r="F322" s="11">
        <f>DAY(Tabela5[[#This Row],[Data]])</f>
        <v>5</v>
      </c>
      <c r="G3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23" spans="1:7">
      <c r="A323" s="11" t="s">
        <v>6</v>
      </c>
      <c r="B323" s="12">
        <v>44292</v>
      </c>
      <c r="C323" s="1" t="s">
        <v>9</v>
      </c>
      <c r="D323" s="1" t="s">
        <v>47</v>
      </c>
      <c r="E323" s="13">
        <v>1</v>
      </c>
      <c r="F323" s="11">
        <f>DAY(Tabela5[[#This Row],[Data]])</f>
        <v>6</v>
      </c>
      <c r="G3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24" spans="1:7">
      <c r="A324" s="11" t="s">
        <v>6</v>
      </c>
      <c r="B324" s="12">
        <v>44292</v>
      </c>
      <c r="C324" s="1" t="s">
        <v>9</v>
      </c>
      <c r="D324" s="1" t="s">
        <v>47</v>
      </c>
      <c r="E324" s="13">
        <v>1</v>
      </c>
      <c r="F324" s="11">
        <f>DAY(Tabela5[[#This Row],[Data]])</f>
        <v>6</v>
      </c>
      <c r="G3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25" spans="1:7">
      <c r="A325" s="11" t="s">
        <v>6</v>
      </c>
      <c r="B325" s="12">
        <v>44292</v>
      </c>
      <c r="C325" s="1" t="s">
        <v>9</v>
      </c>
      <c r="D325" s="1" t="s">
        <v>47</v>
      </c>
      <c r="E325" s="13">
        <v>1</v>
      </c>
      <c r="F325" s="11">
        <f>DAY(Tabela5[[#This Row],[Data]])</f>
        <v>6</v>
      </c>
      <c r="G3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26" spans="1:7">
      <c r="A326" s="11" t="s">
        <v>6</v>
      </c>
      <c r="B326" s="12">
        <v>44293</v>
      </c>
      <c r="C326" s="1" t="s">
        <v>9</v>
      </c>
      <c r="D326" s="1" t="s">
        <v>47</v>
      </c>
      <c r="E326" s="13">
        <v>2</v>
      </c>
      <c r="F326" s="11">
        <f>DAY(Tabela5[[#This Row],[Data]])</f>
        <v>7</v>
      </c>
      <c r="G3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27" spans="1:7">
      <c r="A327" s="11" t="s">
        <v>6</v>
      </c>
      <c r="B327" s="12">
        <v>44293</v>
      </c>
      <c r="C327" s="1" t="s">
        <v>9</v>
      </c>
      <c r="D327" s="1" t="s">
        <v>47</v>
      </c>
      <c r="E327" s="13">
        <v>2</v>
      </c>
      <c r="F327" s="11">
        <f>DAY(Tabela5[[#This Row],[Data]])</f>
        <v>7</v>
      </c>
      <c r="G3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28" spans="1:7">
      <c r="A328" s="11" t="s">
        <v>6</v>
      </c>
      <c r="B328" s="12">
        <v>44293</v>
      </c>
      <c r="C328" s="1" t="s">
        <v>9</v>
      </c>
      <c r="D328" s="1" t="s">
        <v>47</v>
      </c>
      <c r="E328" s="13">
        <v>2</v>
      </c>
      <c r="F328" s="11">
        <f>DAY(Tabela5[[#This Row],[Data]])</f>
        <v>7</v>
      </c>
      <c r="G3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29" spans="1:7">
      <c r="A329" s="11" t="s">
        <v>6</v>
      </c>
      <c r="B329" s="12">
        <v>44294</v>
      </c>
      <c r="C329" s="1" t="s">
        <v>9</v>
      </c>
      <c r="D329" s="1" t="s">
        <v>47</v>
      </c>
      <c r="E329" s="13">
        <v>1</v>
      </c>
      <c r="F329" s="11">
        <f>DAY(Tabela5[[#This Row],[Data]])</f>
        <v>8</v>
      </c>
      <c r="G3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30" spans="1:7">
      <c r="A330" s="11" t="s">
        <v>6</v>
      </c>
      <c r="B330" s="12">
        <v>44294</v>
      </c>
      <c r="C330" s="1" t="s">
        <v>9</v>
      </c>
      <c r="D330" s="1" t="s">
        <v>47</v>
      </c>
      <c r="E330" s="13">
        <v>2</v>
      </c>
      <c r="F330" s="11">
        <f>DAY(Tabela5[[#This Row],[Data]])</f>
        <v>8</v>
      </c>
      <c r="G3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31" spans="1:7">
      <c r="A331" s="11" t="s">
        <v>6</v>
      </c>
      <c r="B331" s="12">
        <v>44294</v>
      </c>
      <c r="C331" s="1" t="s">
        <v>9</v>
      </c>
      <c r="D331" s="1" t="s">
        <v>47</v>
      </c>
      <c r="E331" s="13">
        <v>2</v>
      </c>
      <c r="F331" s="11">
        <f>DAY(Tabela5[[#This Row],[Data]])</f>
        <v>8</v>
      </c>
      <c r="G3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32" spans="1:7">
      <c r="A332" s="11" t="s">
        <v>6</v>
      </c>
      <c r="B332" s="12">
        <v>44295</v>
      </c>
      <c r="C332" s="1" t="s">
        <v>9</v>
      </c>
      <c r="D332" s="1" t="s">
        <v>47</v>
      </c>
      <c r="E332" s="13">
        <v>1</v>
      </c>
      <c r="F332" s="11">
        <f>DAY(Tabela5[[#This Row],[Data]])</f>
        <v>9</v>
      </c>
      <c r="G3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33" spans="1:7">
      <c r="A333" s="11" t="s">
        <v>6</v>
      </c>
      <c r="B333" s="12">
        <v>44295</v>
      </c>
      <c r="C333" s="1" t="s">
        <v>9</v>
      </c>
      <c r="D333" s="1" t="s">
        <v>47</v>
      </c>
      <c r="E333" s="13">
        <v>1</v>
      </c>
      <c r="F333" s="11">
        <f>DAY(Tabela5[[#This Row],[Data]])</f>
        <v>9</v>
      </c>
      <c r="G3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34" spans="1:7">
      <c r="A334" s="11" t="s">
        <v>6</v>
      </c>
      <c r="B334" s="12">
        <v>44295</v>
      </c>
      <c r="C334" s="1" t="s">
        <v>9</v>
      </c>
      <c r="D334" s="1" t="s">
        <v>47</v>
      </c>
      <c r="E334" s="13">
        <v>2</v>
      </c>
      <c r="F334" s="11">
        <f>DAY(Tabela5[[#This Row],[Data]])</f>
        <v>9</v>
      </c>
      <c r="G3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35" spans="1:7">
      <c r="A335" s="11" t="s">
        <v>6</v>
      </c>
      <c r="B335" s="12">
        <v>44298</v>
      </c>
      <c r="C335" s="1" t="s">
        <v>9</v>
      </c>
      <c r="D335" s="1" t="s">
        <v>47</v>
      </c>
      <c r="E335" s="13">
        <v>1</v>
      </c>
      <c r="F335" s="11">
        <f>DAY(Tabela5[[#This Row],[Data]])</f>
        <v>12</v>
      </c>
      <c r="G3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36" spans="1:7">
      <c r="A336" s="11" t="s">
        <v>6</v>
      </c>
      <c r="B336" s="12">
        <v>44298</v>
      </c>
      <c r="C336" s="1" t="s">
        <v>9</v>
      </c>
      <c r="D336" s="1" t="s">
        <v>47</v>
      </c>
      <c r="E336" s="13">
        <v>1</v>
      </c>
      <c r="F336" s="11">
        <f>DAY(Tabela5[[#This Row],[Data]])</f>
        <v>12</v>
      </c>
      <c r="G3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37" spans="1:7">
      <c r="A337" s="11" t="s">
        <v>6</v>
      </c>
      <c r="B337" s="12">
        <v>44298</v>
      </c>
      <c r="C337" s="1" t="s">
        <v>9</v>
      </c>
      <c r="D337" s="1" t="s">
        <v>47</v>
      </c>
      <c r="E337" s="13">
        <v>1</v>
      </c>
      <c r="F337" s="11">
        <f>DAY(Tabela5[[#This Row],[Data]])</f>
        <v>12</v>
      </c>
      <c r="G3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38" spans="1:7">
      <c r="A338" s="11" t="s">
        <v>6</v>
      </c>
      <c r="B338" s="12">
        <v>44299</v>
      </c>
      <c r="C338" s="1" t="s">
        <v>9</v>
      </c>
      <c r="D338" s="1" t="s">
        <v>47</v>
      </c>
      <c r="E338" s="13">
        <v>1</v>
      </c>
      <c r="F338" s="11">
        <f>DAY(Tabela5[[#This Row],[Data]])</f>
        <v>13</v>
      </c>
      <c r="G3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39" spans="1:7">
      <c r="A339" s="11" t="s">
        <v>6</v>
      </c>
      <c r="B339" s="12">
        <v>44299</v>
      </c>
      <c r="C339" s="1" t="s">
        <v>9</v>
      </c>
      <c r="D339" s="1" t="s">
        <v>47</v>
      </c>
      <c r="E339" s="13">
        <v>2</v>
      </c>
      <c r="F339" s="11">
        <f>DAY(Tabela5[[#This Row],[Data]])</f>
        <v>13</v>
      </c>
      <c r="G3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40" spans="1:7">
      <c r="A340" s="11" t="s">
        <v>6</v>
      </c>
      <c r="B340" s="12">
        <v>44299</v>
      </c>
      <c r="C340" s="1" t="s">
        <v>9</v>
      </c>
      <c r="D340" s="1" t="s">
        <v>47</v>
      </c>
      <c r="E340" s="13">
        <v>2</v>
      </c>
      <c r="F340" s="11">
        <f>DAY(Tabela5[[#This Row],[Data]])</f>
        <v>13</v>
      </c>
      <c r="G3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41" spans="1:7">
      <c r="A341" s="11" t="s">
        <v>6</v>
      </c>
      <c r="B341" s="12">
        <v>44300</v>
      </c>
      <c r="C341" s="1" t="s">
        <v>9</v>
      </c>
      <c r="D341" s="1" t="s">
        <v>47</v>
      </c>
      <c r="E341" s="13">
        <v>1</v>
      </c>
      <c r="F341" s="11">
        <f>DAY(Tabela5[[#This Row],[Data]])</f>
        <v>14</v>
      </c>
      <c r="G3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42" spans="1:7">
      <c r="A342" s="11" t="s">
        <v>6</v>
      </c>
      <c r="B342" s="12">
        <v>44300</v>
      </c>
      <c r="C342" s="1" t="s">
        <v>9</v>
      </c>
      <c r="D342" s="1" t="s">
        <v>47</v>
      </c>
      <c r="E342" s="13">
        <v>1</v>
      </c>
      <c r="F342" s="11">
        <f>DAY(Tabela5[[#This Row],[Data]])</f>
        <v>14</v>
      </c>
      <c r="G3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43" spans="1:7">
      <c r="A343" s="11" t="s">
        <v>6</v>
      </c>
      <c r="B343" s="12">
        <v>44301</v>
      </c>
      <c r="C343" s="1" t="s">
        <v>9</v>
      </c>
      <c r="D343" s="1" t="s">
        <v>47</v>
      </c>
      <c r="E343" s="13">
        <v>2</v>
      </c>
      <c r="F343" s="11">
        <f>DAY(Tabela5[[#This Row],[Data]])</f>
        <v>15</v>
      </c>
      <c r="G3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44" spans="1:7">
      <c r="A344" s="11" t="s">
        <v>6</v>
      </c>
      <c r="B344" s="12">
        <v>44301</v>
      </c>
      <c r="C344" s="1" t="s">
        <v>9</v>
      </c>
      <c r="D344" s="1" t="s">
        <v>47</v>
      </c>
      <c r="E344" s="13">
        <v>1</v>
      </c>
      <c r="F344" s="11">
        <f>DAY(Tabela5[[#This Row],[Data]])</f>
        <v>15</v>
      </c>
      <c r="G3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45" spans="1:7">
      <c r="A345" s="11" t="s">
        <v>6</v>
      </c>
      <c r="B345" s="12">
        <v>44301</v>
      </c>
      <c r="C345" s="1" t="s">
        <v>9</v>
      </c>
      <c r="D345" s="1" t="s">
        <v>47</v>
      </c>
      <c r="E345" s="13">
        <v>2</v>
      </c>
      <c r="F345" s="11">
        <f>DAY(Tabela5[[#This Row],[Data]])</f>
        <v>15</v>
      </c>
      <c r="G3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46" spans="1:7">
      <c r="A346" s="11" t="s">
        <v>6</v>
      </c>
      <c r="B346" s="12">
        <v>44302</v>
      </c>
      <c r="C346" s="1" t="s">
        <v>9</v>
      </c>
      <c r="D346" s="1" t="s">
        <v>47</v>
      </c>
      <c r="E346" s="13">
        <v>1</v>
      </c>
      <c r="F346" s="11">
        <f>DAY(Tabela5[[#This Row],[Data]])</f>
        <v>16</v>
      </c>
      <c r="G3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47" spans="1:7">
      <c r="A347" s="11" t="s">
        <v>6</v>
      </c>
      <c r="B347" s="12">
        <v>44302</v>
      </c>
      <c r="C347" s="1" t="s">
        <v>9</v>
      </c>
      <c r="D347" s="1" t="s">
        <v>47</v>
      </c>
      <c r="E347" s="13">
        <v>1</v>
      </c>
      <c r="F347" s="11">
        <f>DAY(Tabela5[[#This Row],[Data]])</f>
        <v>16</v>
      </c>
      <c r="G3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48" spans="1:7">
      <c r="A348" s="11" t="s">
        <v>6</v>
      </c>
      <c r="B348" s="12">
        <v>44302</v>
      </c>
      <c r="C348" s="1" t="s">
        <v>9</v>
      </c>
      <c r="D348" s="1" t="s">
        <v>47</v>
      </c>
      <c r="E348" s="13">
        <v>2</v>
      </c>
      <c r="F348" s="11">
        <f>DAY(Tabela5[[#This Row],[Data]])</f>
        <v>16</v>
      </c>
      <c r="G3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49" spans="1:7">
      <c r="A349" s="11" t="s">
        <v>6</v>
      </c>
      <c r="B349" s="12">
        <v>44305</v>
      </c>
      <c r="C349" s="1" t="s">
        <v>9</v>
      </c>
      <c r="D349" s="1" t="s">
        <v>47</v>
      </c>
      <c r="E349" s="13">
        <v>2</v>
      </c>
      <c r="F349" s="11">
        <f>DAY(Tabela5[[#This Row],[Data]])</f>
        <v>19</v>
      </c>
      <c r="G3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50" spans="1:7">
      <c r="A350" s="11" t="s">
        <v>6</v>
      </c>
      <c r="B350" s="12">
        <v>44305</v>
      </c>
      <c r="C350" s="1" t="s">
        <v>9</v>
      </c>
      <c r="D350" s="1" t="s">
        <v>47</v>
      </c>
      <c r="E350" s="13">
        <v>2</v>
      </c>
      <c r="F350" s="11">
        <f>DAY(Tabela5[[#This Row],[Data]])</f>
        <v>19</v>
      </c>
      <c r="G3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51" spans="1:7">
      <c r="A351" s="11" t="s">
        <v>6</v>
      </c>
      <c r="B351" s="12">
        <v>44305</v>
      </c>
      <c r="C351" s="1" t="s">
        <v>9</v>
      </c>
      <c r="D351" s="1" t="s">
        <v>47</v>
      </c>
      <c r="E351" s="13">
        <v>2</v>
      </c>
      <c r="F351" s="11">
        <f>DAY(Tabela5[[#This Row],[Data]])</f>
        <v>19</v>
      </c>
      <c r="G3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52" spans="1:7">
      <c r="A352" s="11" t="s">
        <v>6</v>
      </c>
      <c r="B352" s="12">
        <v>44306</v>
      </c>
      <c r="C352" s="1" t="s">
        <v>9</v>
      </c>
      <c r="D352" s="1" t="s">
        <v>47</v>
      </c>
      <c r="E352" s="13">
        <v>2</v>
      </c>
      <c r="F352" s="11">
        <f>DAY(Tabela5[[#This Row],[Data]])</f>
        <v>20</v>
      </c>
      <c r="G3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53" spans="1:7">
      <c r="A353" s="11" t="s">
        <v>6</v>
      </c>
      <c r="B353" s="12">
        <v>44306</v>
      </c>
      <c r="C353" s="1" t="s">
        <v>9</v>
      </c>
      <c r="D353" s="1" t="s">
        <v>47</v>
      </c>
      <c r="E353" s="13">
        <v>2</v>
      </c>
      <c r="F353" s="11">
        <f>DAY(Tabela5[[#This Row],[Data]])</f>
        <v>20</v>
      </c>
      <c r="G3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54" spans="1:7">
      <c r="A354" s="11" t="s">
        <v>6</v>
      </c>
      <c r="B354" s="12">
        <v>44306</v>
      </c>
      <c r="C354" s="1" t="s">
        <v>9</v>
      </c>
      <c r="D354" s="1" t="s">
        <v>47</v>
      </c>
      <c r="E354" s="13">
        <v>2</v>
      </c>
      <c r="F354" s="11">
        <f>DAY(Tabela5[[#This Row],[Data]])</f>
        <v>20</v>
      </c>
      <c r="G3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55" spans="1:7">
      <c r="A355" s="11" t="s">
        <v>6</v>
      </c>
      <c r="B355" s="12">
        <v>44308</v>
      </c>
      <c r="C355" s="1" t="s">
        <v>9</v>
      </c>
      <c r="D355" s="1" t="s">
        <v>47</v>
      </c>
      <c r="E355" s="13">
        <v>1</v>
      </c>
      <c r="F355" s="11">
        <f>DAY(Tabela5[[#This Row],[Data]])</f>
        <v>22</v>
      </c>
      <c r="G3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56" spans="1:7">
      <c r="A356" s="11" t="s">
        <v>6</v>
      </c>
      <c r="B356" s="12">
        <v>44308</v>
      </c>
      <c r="C356" s="1" t="s">
        <v>9</v>
      </c>
      <c r="D356" s="1" t="s">
        <v>47</v>
      </c>
      <c r="E356" s="13">
        <v>1</v>
      </c>
      <c r="F356" s="11">
        <f>DAY(Tabela5[[#This Row],[Data]])</f>
        <v>22</v>
      </c>
      <c r="G3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57" spans="1:7">
      <c r="A357" s="11" t="s">
        <v>6</v>
      </c>
      <c r="B357" s="12">
        <v>44308</v>
      </c>
      <c r="C357" s="1" t="s">
        <v>9</v>
      </c>
      <c r="D357" s="1" t="s">
        <v>47</v>
      </c>
      <c r="E357" s="13">
        <v>1</v>
      </c>
      <c r="F357" s="11">
        <f>DAY(Tabela5[[#This Row],[Data]])</f>
        <v>22</v>
      </c>
      <c r="G3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58" spans="1:7">
      <c r="A358" s="11" t="s">
        <v>6</v>
      </c>
      <c r="B358" s="12">
        <v>44309</v>
      </c>
      <c r="C358" s="1" t="s">
        <v>9</v>
      </c>
      <c r="D358" s="1" t="s">
        <v>47</v>
      </c>
      <c r="E358" s="13">
        <v>2</v>
      </c>
      <c r="F358" s="11">
        <f>DAY(Tabela5[[#This Row],[Data]])</f>
        <v>23</v>
      </c>
      <c r="G3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59" spans="1:7">
      <c r="A359" s="11" t="s">
        <v>6</v>
      </c>
      <c r="B359" s="12">
        <v>44309</v>
      </c>
      <c r="C359" s="1" t="s">
        <v>9</v>
      </c>
      <c r="D359" s="1" t="s">
        <v>47</v>
      </c>
      <c r="E359" s="13">
        <v>2</v>
      </c>
      <c r="F359" s="11">
        <f>DAY(Tabela5[[#This Row],[Data]])</f>
        <v>23</v>
      </c>
      <c r="G3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60" spans="1:7">
      <c r="A360" s="11" t="s">
        <v>6</v>
      </c>
      <c r="B360" s="12">
        <v>44309</v>
      </c>
      <c r="C360" s="1" t="s">
        <v>9</v>
      </c>
      <c r="D360" s="1" t="s">
        <v>47</v>
      </c>
      <c r="E360" s="13">
        <v>2</v>
      </c>
      <c r="F360" s="11">
        <f>DAY(Tabela5[[#This Row],[Data]])</f>
        <v>23</v>
      </c>
      <c r="G3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61" spans="1:7">
      <c r="A361" s="11" t="s">
        <v>6</v>
      </c>
      <c r="B361" s="12">
        <v>44312</v>
      </c>
      <c r="C361" s="1" t="s">
        <v>9</v>
      </c>
      <c r="D361" s="1" t="s">
        <v>47</v>
      </c>
      <c r="E361" s="13">
        <v>2</v>
      </c>
      <c r="F361" s="11">
        <f>DAY(Tabela5[[#This Row],[Data]])</f>
        <v>26</v>
      </c>
      <c r="G3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62" spans="1:7">
      <c r="A362" s="11" t="s">
        <v>6</v>
      </c>
      <c r="B362" s="12">
        <v>44312</v>
      </c>
      <c r="C362" s="1" t="s">
        <v>9</v>
      </c>
      <c r="D362" s="1" t="s">
        <v>47</v>
      </c>
      <c r="E362" s="13">
        <v>1</v>
      </c>
      <c r="F362" s="11">
        <f>DAY(Tabela5[[#This Row],[Data]])</f>
        <v>26</v>
      </c>
      <c r="G3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63" spans="1:7">
      <c r="A363" s="11" t="s">
        <v>6</v>
      </c>
      <c r="B363" s="12">
        <v>44312</v>
      </c>
      <c r="C363" s="1" t="s">
        <v>9</v>
      </c>
      <c r="D363" s="1" t="s">
        <v>47</v>
      </c>
      <c r="E363" s="13">
        <v>2</v>
      </c>
      <c r="F363" s="11">
        <f>DAY(Tabela5[[#This Row],[Data]])</f>
        <v>26</v>
      </c>
      <c r="G3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64" spans="1:7">
      <c r="A364" s="11" t="s">
        <v>6</v>
      </c>
      <c r="B364" s="12">
        <v>44313</v>
      </c>
      <c r="C364" s="1" t="s">
        <v>9</v>
      </c>
      <c r="D364" s="1" t="s">
        <v>47</v>
      </c>
      <c r="E364" s="13">
        <v>1</v>
      </c>
      <c r="F364" s="11">
        <f>DAY(Tabela5[[#This Row],[Data]])</f>
        <v>27</v>
      </c>
      <c r="G3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65" spans="1:7">
      <c r="A365" s="11" t="s">
        <v>6</v>
      </c>
      <c r="B365" s="12">
        <v>44313</v>
      </c>
      <c r="C365" s="1" t="s">
        <v>9</v>
      </c>
      <c r="D365" s="1" t="s">
        <v>47</v>
      </c>
      <c r="E365" s="13">
        <v>1</v>
      </c>
      <c r="F365" s="11">
        <f>DAY(Tabela5[[#This Row],[Data]])</f>
        <v>27</v>
      </c>
      <c r="G3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66" spans="1:7">
      <c r="A366" s="11" t="s">
        <v>6</v>
      </c>
      <c r="B366" s="12">
        <v>44313</v>
      </c>
      <c r="C366" s="1" t="s">
        <v>9</v>
      </c>
      <c r="D366" s="1" t="s">
        <v>47</v>
      </c>
      <c r="E366" s="13">
        <v>2</v>
      </c>
      <c r="F366" s="11">
        <f>DAY(Tabela5[[#This Row],[Data]])</f>
        <v>27</v>
      </c>
      <c r="G3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67" spans="1:7">
      <c r="A367" s="11" t="s">
        <v>6</v>
      </c>
      <c r="B367" s="12">
        <v>44314</v>
      </c>
      <c r="C367" s="1" t="s">
        <v>9</v>
      </c>
      <c r="D367" s="1" t="s">
        <v>47</v>
      </c>
      <c r="E367" s="13">
        <v>2</v>
      </c>
      <c r="F367" s="11">
        <f>DAY(Tabela5[[#This Row],[Data]])</f>
        <v>28</v>
      </c>
      <c r="G3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68" spans="1:7">
      <c r="A368" s="11" t="s">
        <v>6</v>
      </c>
      <c r="B368" s="12">
        <v>44314</v>
      </c>
      <c r="C368" s="1" t="s">
        <v>9</v>
      </c>
      <c r="D368" s="1" t="s">
        <v>47</v>
      </c>
      <c r="E368" s="13">
        <v>2</v>
      </c>
      <c r="F368" s="11">
        <f>DAY(Tabela5[[#This Row],[Data]])</f>
        <v>28</v>
      </c>
      <c r="G3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69" spans="1:7">
      <c r="A369" s="11" t="s">
        <v>6</v>
      </c>
      <c r="B369" s="12">
        <v>44314</v>
      </c>
      <c r="C369" s="1" t="s">
        <v>9</v>
      </c>
      <c r="D369" s="1" t="s">
        <v>47</v>
      </c>
      <c r="E369" s="13">
        <v>1</v>
      </c>
      <c r="F369" s="11">
        <f>DAY(Tabela5[[#This Row],[Data]])</f>
        <v>28</v>
      </c>
      <c r="G3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70" spans="1:7">
      <c r="A370" s="11" t="s">
        <v>6</v>
      </c>
      <c r="B370" s="12">
        <v>44315</v>
      </c>
      <c r="C370" s="1" t="s">
        <v>9</v>
      </c>
      <c r="D370" s="1" t="s">
        <v>47</v>
      </c>
      <c r="E370" s="13">
        <v>1</v>
      </c>
      <c r="F370" s="11">
        <f>DAY(Tabela5[[#This Row],[Data]])</f>
        <v>29</v>
      </c>
      <c r="G3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71" spans="1:7">
      <c r="A371" s="11" t="s">
        <v>6</v>
      </c>
      <c r="B371" s="12">
        <v>44315</v>
      </c>
      <c r="C371" s="1" t="s">
        <v>9</v>
      </c>
      <c r="D371" s="1" t="s">
        <v>47</v>
      </c>
      <c r="E371" s="13">
        <v>1</v>
      </c>
      <c r="F371" s="11">
        <f>DAY(Tabela5[[#This Row],[Data]])</f>
        <v>29</v>
      </c>
      <c r="G3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72" spans="1:7">
      <c r="A372" s="11" t="s">
        <v>6</v>
      </c>
      <c r="B372" s="12">
        <v>44315</v>
      </c>
      <c r="C372" s="1" t="s">
        <v>9</v>
      </c>
      <c r="D372" s="1" t="s">
        <v>47</v>
      </c>
      <c r="E372" s="13">
        <v>1</v>
      </c>
      <c r="F372" s="11">
        <f>DAY(Tabela5[[#This Row],[Data]])</f>
        <v>29</v>
      </c>
      <c r="G3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73" spans="1:7">
      <c r="A373" s="11" t="s">
        <v>6</v>
      </c>
      <c r="B373" s="12">
        <v>44316</v>
      </c>
      <c r="C373" s="1" t="s">
        <v>9</v>
      </c>
      <c r="D373" s="1" t="s">
        <v>47</v>
      </c>
      <c r="E373" s="13">
        <v>1</v>
      </c>
      <c r="F373" s="11">
        <f>DAY(Tabela5[[#This Row],[Data]])</f>
        <v>30</v>
      </c>
      <c r="G3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74" spans="1:7">
      <c r="A374" s="11" t="s">
        <v>6</v>
      </c>
      <c r="B374" s="12">
        <v>44316</v>
      </c>
      <c r="C374" s="1" t="s">
        <v>9</v>
      </c>
      <c r="D374" s="1" t="s">
        <v>47</v>
      </c>
      <c r="E374" s="13">
        <v>1</v>
      </c>
      <c r="F374" s="11">
        <f>DAY(Tabela5[[#This Row],[Data]])</f>
        <v>30</v>
      </c>
      <c r="G3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75" spans="1:7">
      <c r="A375" s="11" t="s">
        <v>6</v>
      </c>
      <c r="B375" s="12">
        <v>44316</v>
      </c>
      <c r="C375" s="1" t="s">
        <v>9</v>
      </c>
      <c r="D375" s="1" t="s">
        <v>47</v>
      </c>
      <c r="E375" s="13">
        <v>1</v>
      </c>
      <c r="F375" s="11">
        <f>DAY(Tabela5[[#This Row],[Data]])</f>
        <v>30</v>
      </c>
      <c r="G3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76" spans="1:7">
      <c r="A376" s="11" t="s">
        <v>6</v>
      </c>
      <c r="B376" s="12">
        <v>44316</v>
      </c>
      <c r="C376" s="1" t="s">
        <v>9</v>
      </c>
      <c r="D376" s="1" t="s">
        <v>47</v>
      </c>
      <c r="E376" s="13">
        <v>1</v>
      </c>
      <c r="F376" s="11">
        <f>DAY(Tabela5[[#This Row],[Data]])</f>
        <v>30</v>
      </c>
      <c r="G3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77" spans="1:7">
      <c r="A377" s="11" t="s">
        <v>6</v>
      </c>
      <c r="B377" s="12">
        <v>44287</v>
      </c>
      <c r="C377" s="1" t="s">
        <v>23</v>
      </c>
      <c r="D377" s="1" t="s">
        <v>47</v>
      </c>
      <c r="E377" s="13">
        <v>2</v>
      </c>
      <c r="F377" s="11">
        <f>DAY(Tabela5[[#This Row],[Data]])</f>
        <v>1</v>
      </c>
      <c r="G3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78" spans="1:7">
      <c r="A378" s="11" t="s">
        <v>6</v>
      </c>
      <c r="B378" s="12">
        <v>44287</v>
      </c>
      <c r="C378" s="1" t="s">
        <v>36</v>
      </c>
      <c r="D378" s="1" t="s">
        <v>47</v>
      </c>
      <c r="E378" s="13">
        <v>1</v>
      </c>
      <c r="F378" s="11">
        <f>DAY(Tabela5[[#This Row],[Data]])</f>
        <v>1</v>
      </c>
      <c r="G3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79" spans="1:7">
      <c r="A379" s="11" t="s">
        <v>6</v>
      </c>
      <c r="B379" s="12">
        <v>44291</v>
      </c>
      <c r="C379" s="1" t="s">
        <v>36</v>
      </c>
      <c r="D379" s="1" t="s">
        <v>47</v>
      </c>
      <c r="E379" s="13">
        <v>2</v>
      </c>
      <c r="F379" s="11">
        <f>DAY(Tabela5[[#This Row],[Data]])</f>
        <v>5</v>
      </c>
      <c r="G3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80" spans="1:7">
      <c r="A380" s="11" t="s">
        <v>6</v>
      </c>
      <c r="B380" s="12">
        <v>44292</v>
      </c>
      <c r="C380" s="1" t="s">
        <v>36</v>
      </c>
      <c r="D380" s="1" t="s">
        <v>47</v>
      </c>
      <c r="E380" s="13">
        <v>2</v>
      </c>
      <c r="F380" s="11">
        <f>DAY(Tabela5[[#This Row],[Data]])</f>
        <v>6</v>
      </c>
      <c r="G3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81" spans="1:7">
      <c r="A381" s="11" t="s">
        <v>6</v>
      </c>
      <c r="B381" s="12">
        <v>44293</v>
      </c>
      <c r="C381" s="1" t="s">
        <v>36</v>
      </c>
      <c r="D381" s="1" t="s">
        <v>47</v>
      </c>
      <c r="E381" s="13">
        <v>2</v>
      </c>
      <c r="F381" s="11">
        <f>DAY(Tabela5[[#This Row],[Data]])</f>
        <v>7</v>
      </c>
      <c r="G3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82" spans="1:7">
      <c r="A382" s="11" t="s">
        <v>6</v>
      </c>
      <c r="B382" s="12">
        <v>44293</v>
      </c>
      <c r="C382" s="1" t="s">
        <v>36</v>
      </c>
      <c r="D382" s="1" t="s">
        <v>47</v>
      </c>
      <c r="E382" s="13">
        <v>1</v>
      </c>
      <c r="F382" s="11">
        <f>DAY(Tabela5[[#This Row],[Data]])</f>
        <v>7</v>
      </c>
      <c r="G3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83" spans="1:7">
      <c r="A383" s="11" t="s">
        <v>6</v>
      </c>
      <c r="B383" s="12">
        <v>44293</v>
      </c>
      <c r="C383" s="1" t="s">
        <v>36</v>
      </c>
      <c r="D383" s="1" t="s">
        <v>47</v>
      </c>
      <c r="E383" s="13">
        <v>2</v>
      </c>
      <c r="F383" s="11">
        <f>DAY(Tabela5[[#This Row],[Data]])</f>
        <v>7</v>
      </c>
      <c r="G3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84" spans="1:7">
      <c r="A384" s="11" t="s">
        <v>6</v>
      </c>
      <c r="B384" s="12">
        <v>44294</v>
      </c>
      <c r="C384" s="1" t="s">
        <v>36</v>
      </c>
      <c r="D384" s="1" t="s">
        <v>47</v>
      </c>
      <c r="E384" s="13">
        <v>2</v>
      </c>
      <c r="F384" s="11">
        <f>DAY(Tabela5[[#This Row],[Data]])</f>
        <v>8</v>
      </c>
      <c r="G3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85" spans="1:7">
      <c r="A385" s="11" t="s">
        <v>6</v>
      </c>
      <c r="B385" s="12">
        <v>44294</v>
      </c>
      <c r="C385" s="1" t="s">
        <v>36</v>
      </c>
      <c r="D385" s="1" t="s">
        <v>47</v>
      </c>
      <c r="E385" s="13">
        <v>1</v>
      </c>
      <c r="F385" s="11">
        <f>DAY(Tabela5[[#This Row],[Data]])</f>
        <v>8</v>
      </c>
      <c r="G3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86" spans="1:7">
      <c r="A386" s="11" t="s">
        <v>6</v>
      </c>
      <c r="B386" s="12">
        <v>44294</v>
      </c>
      <c r="C386" s="1" t="s">
        <v>36</v>
      </c>
      <c r="D386" s="1" t="s">
        <v>47</v>
      </c>
      <c r="E386" s="13">
        <v>1</v>
      </c>
      <c r="F386" s="11">
        <f>DAY(Tabela5[[#This Row],[Data]])</f>
        <v>8</v>
      </c>
      <c r="G3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387" spans="1:7">
      <c r="A387" s="11" t="s">
        <v>6</v>
      </c>
      <c r="B387" s="12">
        <v>44295</v>
      </c>
      <c r="C387" s="1" t="s">
        <v>36</v>
      </c>
      <c r="D387" s="1" t="s">
        <v>47</v>
      </c>
      <c r="E387" s="13">
        <v>2</v>
      </c>
      <c r="F387" s="11">
        <f>DAY(Tabela5[[#This Row],[Data]])</f>
        <v>9</v>
      </c>
      <c r="G3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88" spans="1:7">
      <c r="A388" s="11" t="s">
        <v>6</v>
      </c>
      <c r="B388" s="12">
        <v>44295</v>
      </c>
      <c r="C388" s="1" t="s">
        <v>36</v>
      </c>
      <c r="D388" s="1" t="s">
        <v>47</v>
      </c>
      <c r="E388" s="13">
        <v>1</v>
      </c>
      <c r="F388" s="11">
        <f>DAY(Tabela5[[#This Row],[Data]])</f>
        <v>9</v>
      </c>
      <c r="G3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89" spans="1:7">
      <c r="A389" s="11" t="s">
        <v>6</v>
      </c>
      <c r="B389" s="12">
        <v>44295</v>
      </c>
      <c r="C389" s="1" t="s">
        <v>36</v>
      </c>
      <c r="D389" s="1" t="s">
        <v>47</v>
      </c>
      <c r="E389" s="13">
        <v>2</v>
      </c>
      <c r="F389" s="11">
        <f>DAY(Tabela5[[#This Row],[Data]])</f>
        <v>9</v>
      </c>
      <c r="G3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390" spans="1:7">
      <c r="A390" s="11" t="s">
        <v>6</v>
      </c>
      <c r="B390" s="12">
        <v>44298</v>
      </c>
      <c r="C390" s="1" t="s">
        <v>36</v>
      </c>
      <c r="D390" s="1" t="s">
        <v>47</v>
      </c>
      <c r="E390" s="13">
        <v>1</v>
      </c>
      <c r="F390" s="11">
        <f>DAY(Tabela5[[#This Row],[Data]])</f>
        <v>12</v>
      </c>
      <c r="G3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91" spans="1:7">
      <c r="A391" s="11" t="s">
        <v>6</v>
      </c>
      <c r="B391" s="12">
        <v>44298</v>
      </c>
      <c r="C391" s="1" t="s">
        <v>36</v>
      </c>
      <c r="D391" s="1" t="s">
        <v>47</v>
      </c>
      <c r="E391" s="13">
        <v>2</v>
      </c>
      <c r="F391" s="11">
        <f>DAY(Tabela5[[#This Row],[Data]])</f>
        <v>12</v>
      </c>
      <c r="G3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92" spans="1:7">
      <c r="A392" s="11" t="s">
        <v>6</v>
      </c>
      <c r="B392" s="12">
        <v>44298</v>
      </c>
      <c r="C392" s="1" t="s">
        <v>36</v>
      </c>
      <c r="D392" s="1" t="s">
        <v>47</v>
      </c>
      <c r="E392" s="13">
        <v>1</v>
      </c>
      <c r="F392" s="11">
        <f>DAY(Tabela5[[#This Row],[Data]])</f>
        <v>12</v>
      </c>
      <c r="G3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393" spans="1:7">
      <c r="A393" s="11" t="s">
        <v>6</v>
      </c>
      <c r="B393" s="12">
        <v>44299</v>
      </c>
      <c r="C393" s="1" t="s">
        <v>36</v>
      </c>
      <c r="D393" s="1" t="s">
        <v>47</v>
      </c>
      <c r="E393" s="13">
        <v>2</v>
      </c>
      <c r="F393" s="11">
        <f>DAY(Tabela5[[#This Row],[Data]])</f>
        <v>13</v>
      </c>
      <c r="G3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94" spans="1:7">
      <c r="A394" s="11" t="s">
        <v>6</v>
      </c>
      <c r="B394" s="12">
        <v>44299</v>
      </c>
      <c r="C394" s="1" t="s">
        <v>36</v>
      </c>
      <c r="D394" s="1" t="s">
        <v>47</v>
      </c>
      <c r="E394" s="13">
        <v>1</v>
      </c>
      <c r="F394" s="11">
        <f>DAY(Tabela5[[#This Row],[Data]])</f>
        <v>13</v>
      </c>
      <c r="G3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95" spans="1:7">
      <c r="A395" s="11" t="s">
        <v>6</v>
      </c>
      <c r="B395" s="12">
        <v>44299</v>
      </c>
      <c r="C395" s="1" t="s">
        <v>36</v>
      </c>
      <c r="D395" s="1" t="s">
        <v>47</v>
      </c>
      <c r="E395" s="13">
        <v>2</v>
      </c>
      <c r="F395" s="11">
        <f>DAY(Tabela5[[#This Row],[Data]])</f>
        <v>13</v>
      </c>
      <c r="G3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396" spans="1:7">
      <c r="A396" s="11" t="s">
        <v>6</v>
      </c>
      <c r="B396" s="12">
        <v>44300</v>
      </c>
      <c r="C396" s="1" t="s">
        <v>36</v>
      </c>
      <c r="D396" s="1" t="s">
        <v>47</v>
      </c>
      <c r="E396" s="13">
        <v>2</v>
      </c>
      <c r="F396" s="11">
        <f>DAY(Tabela5[[#This Row],[Data]])</f>
        <v>14</v>
      </c>
      <c r="G3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97" spans="1:7">
      <c r="A397" s="11" t="s">
        <v>6</v>
      </c>
      <c r="B397" s="12">
        <v>44300</v>
      </c>
      <c r="C397" s="1" t="s">
        <v>36</v>
      </c>
      <c r="D397" s="1" t="s">
        <v>47</v>
      </c>
      <c r="E397" s="13">
        <v>2</v>
      </c>
      <c r="F397" s="11">
        <f>DAY(Tabela5[[#This Row],[Data]])</f>
        <v>14</v>
      </c>
      <c r="G3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98" spans="1:7">
      <c r="A398" s="11" t="s">
        <v>6</v>
      </c>
      <c r="B398" s="12">
        <v>44300</v>
      </c>
      <c r="C398" s="1" t="s">
        <v>36</v>
      </c>
      <c r="D398" s="1" t="s">
        <v>47</v>
      </c>
      <c r="E398" s="13">
        <v>1</v>
      </c>
      <c r="F398" s="11">
        <f>DAY(Tabela5[[#This Row],[Data]])</f>
        <v>14</v>
      </c>
      <c r="G3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399" spans="1:7">
      <c r="A399" s="11" t="s">
        <v>6</v>
      </c>
      <c r="B399" s="12">
        <v>44301</v>
      </c>
      <c r="C399" s="1" t="s">
        <v>36</v>
      </c>
      <c r="D399" s="1" t="s">
        <v>47</v>
      </c>
      <c r="E399" s="13">
        <v>1</v>
      </c>
      <c r="F399" s="11">
        <f>DAY(Tabela5[[#This Row],[Data]])</f>
        <v>15</v>
      </c>
      <c r="G3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00" spans="1:7">
      <c r="A400" s="11" t="s">
        <v>6</v>
      </c>
      <c r="B400" s="12">
        <v>44301</v>
      </c>
      <c r="C400" s="1" t="s">
        <v>36</v>
      </c>
      <c r="D400" s="1" t="s">
        <v>47</v>
      </c>
      <c r="E400" s="13">
        <v>2</v>
      </c>
      <c r="F400" s="11">
        <f>DAY(Tabela5[[#This Row],[Data]])</f>
        <v>15</v>
      </c>
      <c r="G4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01" spans="1:7">
      <c r="A401" s="11" t="s">
        <v>6</v>
      </c>
      <c r="B401" s="12">
        <v>44301</v>
      </c>
      <c r="C401" s="1" t="s">
        <v>36</v>
      </c>
      <c r="D401" s="1" t="s">
        <v>47</v>
      </c>
      <c r="E401" s="13">
        <v>2</v>
      </c>
      <c r="F401" s="11">
        <f>DAY(Tabela5[[#This Row],[Data]])</f>
        <v>15</v>
      </c>
      <c r="G4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02" spans="1:7">
      <c r="A402" s="11" t="s">
        <v>6</v>
      </c>
      <c r="B402" s="12">
        <v>44302</v>
      </c>
      <c r="C402" s="1" t="s">
        <v>36</v>
      </c>
      <c r="D402" s="1" t="s">
        <v>47</v>
      </c>
      <c r="E402" s="13">
        <v>2</v>
      </c>
      <c r="F402" s="11">
        <f>DAY(Tabela5[[#This Row],[Data]])</f>
        <v>16</v>
      </c>
      <c r="G4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03" spans="1:7">
      <c r="A403" s="11" t="s">
        <v>6</v>
      </c>
      <c r="B403" s="12">
        <v>44302</v>
      </c>
      <c r="C403" s="1" t="s">
        <v>36</v>
      </c>
      <c r="D403" s="1" t="s">
        <v>47</v>
      </c>
      <c r="E403" s="13">
        <v>2</v>
      </c>
      <c r="F403" s="11">
        <f>DAY(Tabela5[[#This Row],[Data]])</f>
        <v>16</v>
      </c>
      <c r="G4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04" spans="1:7">
      <c r="A404" s="11" t="s">
        <v>6</v>
      </c>
      <c r="B404" s="12">
        <v>44302</v>
      </c>
      <c r="C404" s="1" t="s">
        <v>36</v>
      </c>
      <c r="D404" s="1" t="s">
        <v>47</v>
      </c>
      <c r="E404" s="13">
        <v>2</v>
      </c>
      <c r="F404" s="11">
        <f>DAY(Tabela5[[#This Row],[Data]])</f>
        <v>16</v>
      </c>
      <c r="G4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05" spans="1:7">
      <c r="A405" s="11" t="s">
        <v>6</v>
      </c>
      <c r="B405" s="12">
        <v>44305</v>
      </c>
      <c r="C405" s="1" t="s">
        <v>36</v>
      </c>
      <c r="D405" s="1" t="s">
        <v>47</v>
      </c>
      <c r="E405" s="13">
        <v>1</v>
      </c>
      <c r="F405" s="11">
        <f>DAY(Tabela5[[#This Row],[Data]])</f>
        <v>19</v>
      </c>
      <c r="G4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06" spans="1:7">
      <c r="A406" s="11" t="s">
        <v>6</v>
      </c>
      <c r="B406" s="12">
        <v>44306</v>
      </c>
      <c r="C406" s="1" t="s">
        <v>36</v>
      </c>
      <c r="D406" s="1" t="s">
        <v>47</v>
      </c>
      <c r="E406" s="13">
        <v>1</v>
      </c>
      <c r="F406" s="11">
        <f>DAY(Tabela5[[#This Row],[Data]])</f>
        <v>20</v>
      </c>
      <c r="G4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07" spans="1:7">
      <c r="A407" s="11" t="s">
        <v>6</v>
      </c>
      <c r="B407" s="12">
        <v>44308</v>
      </c>
      <c r="C407" s="1" t="s">
        <v>36</v>
      </c>
      <c r="D407" s="1" t="s">
        <v>47</v>
      </c>
      <c r="E407" s="13">
        <v>1</v>
      </c>
      <c r="F407" s="11">
        <f>DAY(Tabela5[[#This Row],[Data]])</f>
        <v>22</v>
      </c>
      <c r="G4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08" spans="1:7">
      <c r="A408" s="11" t="s">
        <v>6</v>
      </c>
      <c r="B408" s="12">
        <v>44309</v>
      </c>
      <c r="C408" s="1" t="s">
        <v>36</v>
      </c>
      <c r="D408" s="1" t="s">
        <v>47</v>
      </c>
      <c r="E408" s="13">
        <v>2</v>
      </c>
      <c r="F408" s="11">
        <f>DAY(Tabela5[[#This Row],[Data]])</f>
        <v>23</v>
      </c>
      <c r="G4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09" spans="1:7">
      <c r="A409" s="11" t="s">
        <v>6</v>
      </c>
      <c r="B409" s="12">
        <v>44309</v>
      </c>
      <c r="C409" s="1" t="s">
        <v>36</v>
      </c>
      <c r="D409" s="1" t="s">
        <v>47</v>
      </c>
      <c r="E409" s="13">
        <v>2</v>
      </c>
      <c r="F409" s="11">
        <f>DAY(Tabela5[[#This Row],[Data]])</f>
        <v>23</v>
      </c>
      <c r="G4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10" spans="1:7">
      <c r="A410" s="11" t="s">
        <v>6</v>
      </c>
      <c r="B410" s="12">
        <v>44309</v>
      </c>
      <c r="C410" s="1" t="s">
        <v>36</v>
      </c>
      <c r="D410" s="1" t="s">
        <v>47</v>
      </c>
      <c r="E410" s="13">
        <v>1</v>
      </c>
      <c r="F410" s="11">
        <f>DAY(Tabela5[[#This Row],[Data]])</f>
        <v>23</v>
      </c>
      <c r="G4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11" spans="1:7">
      <c r="A411" s="11" t="s">
        <v>6</v>
      </c>
      <c r="B411" s="12">
        <v>44312</v>
      </c>
      <c r="C411" s="1" t="s">
        <v>36</v>
      </c>
      <c r="D411" s="1" t="s">
        <v>47</v>
      </c>
      <c r="E411" s="13">
        <v>2</v>
      </c>
      <c r="F411" s="11">
        <f>DAY(Tabela5[[#This Row],[Data]])</f>
        <v>26</v>
      </c>
      <c r="G4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12" spans="1:7">
      <c r="A412" s="11" t="s">
        <v>6</v>
      </c>
      <c r="B412" s="12">
        <v>44312</v>
      </c>
      <c r="C412" s="1" t="s">
        <v>36</v>
      </c>
      <c r="D412" s="1" t="s">
        <v>47</v>
      </c>
      <c r="E412" s="13">
        <v>2</v>
      </c>
      <c r="F412" s="11">
        <f>DAY(Tabela5[[#This Row],[Data]])</f>
        <v>26</v>
      </c>
      <c r="G4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13" spans="1:7">
      <c r="A413" s="11" t="s">
        <v>6</v>
      </c>
      <c r="B413" s="12">
        <v>44312</v>
      </c>
      <c r="C413" s="1" t="s">
        <v>36</v>
      </c>
      <c r="D413" s="1" t="s">
        <v>47</v>
      </c>
      <c r="E413" s="13">
        <v>2</v>
      </c>
      <c r="F413" s="11">
        <f>DAY(Tabela5[[#This Row],[Data]])</f>
        <v>26</v>
      </c>
      <c r="G4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14" spans="1:7">
      <c r="A414" s="11" t="s">
        <v>6</v>
      </c>
      <c r="B414" s="12">
        <v>44313</v>
      </c>
      <c r="C414" s="1" t="s">
        <v>36</v>
      </c>
      <c r="D414" s="1" t="s">
        <v>47</v>
      </c>
      <c r="E414" s="13">
        <v>1</v>
      </c>
      <c r="F414" s="11">
        <f>DAY(Tabela5[[#This Row],[Data]])</f>
        <v>27</v>
      </c>
      <c r="G4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15" spans="1:7">
      <c r="A415" s="11" t="s">
        <v>6</v>
      </c>
      <c r="B415" s="12">
        <v>44313</v>
      </c>
      <c r="C415" s="1" t="s">
        <v>36</v>
      </c>
      <c r="D415" s="1" t="s">
        <v>47</v>
      </c>
      <c r="E415" s="13">
        <v>2</v>
      </c>
      <c r="F415" s="11">
        <f>DAY(Tabela5[[#This Row],[Data]])</f>
        <v>27</v>
      </c>
      <c r="G4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16" spans="1:7">
      <c r="A416" s="11" t="s">
        <v>6</v>
      </c>
      <c r="B416" s="12">
        <v>44313</v>
      </c>
      <c r="C416" s="1" t="s">
        <v>36</v>
      </c>
      <c r="D416" s="1" t="s">
        <v>47</v>
      </c>
      <c r="E416" s="13">
        <v>2</v>
      </c>
      <c r="F416" s="11">
        <f>DAY(Tabela5[[#This Row],[Data]])</f>
        <v>27</v>
      </c>
      <c r="G4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17" spans="1:7">
      <c r="A417" s="11" t="s">
        <v>6</v>
      </c>
      <c r="B417" s="12">
        <v>44314</v>
      </c>
      <c r="C417" s="1" t="s">
        <v>36</v>
      </c>
      <c r="D417" s="1" t="s">
        <v>47</v>
      </c>
      <c r="E417" s="13">
        <v>1</v>
      </c>
      <c r="F417" s="11">
        <f>DAY(Tabela5[[#This Row],[Data]])</f>
        <v>28</v>
      </c>
      <c r="G4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18" spans="1:7">
      <c r="A418" s="11" t="s">
        <v>6</v>
      </c>
      <c r="B418" s="12">
        <v>44314</v>
      </c>
      <c r="C418" s="1" t="s">
        <v>36</v>
      </c>
      <c r="D418" s="1" t="s">
        <v>47</v>
      </c>
      <c r="E418" s="13">
        <v>2</v>
      </c>
      <c r="F418" s="11">
        <f>DAY(Tabela5[[#This Row],[Data]])</f>
        <v>28</v>
      </c>
      <c r="G4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19" spans="1:7">
      <c r="A419" s="11" t="s">
        <v>6</v>
      </c>
      <c r="B419" s="12">
        <v>44314</v>
      </c>
      <c r="C419" s="1" t="s">
        <v>36</v>
      </c>
      <c r="D419" s="1" t="s">
        <v>47</v>
      </c>
      <c r="E419" s="13">
        <v>2</v>
      </c>
      <c r="F419" s="11">
        <f>DAY(Tabela5[[#This Row],[Data]])</f>
        <v>28</v>
      </c>
      <c r="G4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20" spans="1:7">
      <c r="A420" s="11" t="s">
        <v>6</v>
      </c>
      <c r="B420" s="12">
        <v>44315</v>
      </c>
      <c r="C420" s="1" t="s">
        <v>36</v>
      </c>
      <c r="D420" s="1" t="s">
        <v>47</v>
      </c>
      <c r="E420" s="13">
        <v>1</v>
      </c>
      <c r="F420" s="11">
        <f>DAY(Tabela5[[#This Row],[Data]])</f>
        <v>29</v>
      </c>
      <c r="G4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21" spans="1:7">
      <c r="A421" s="11" t="s">
        <v>6</v>
      </c>
      <c r="B421" s="12">
        <v>44315</v>
      </c>
      <c r="C421" s="1" t="s">
        <v>36</v>
      </c>
      <c r="D421" s="1" t="s">
        <v>47</v>
      </c>
      <c r="E421" s="13">
        <v>1</v>
      </c>
      <c r="F421" s="11">
        <f>DAY(Tabela5[[#This Row],[Data]])</f>
        <v>29</v>
      </c>
      <c r="G4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22" spans="1:7">
      <c r="A422" s="11" t="s">
        <v>6</v>
      </c>
      <c r="B422" s="12">
        <v>44315</v>
      </c>
      <c r="C422" s="1" t="s">
        <v>36</v>
      </c>
      <c r="D422" s="1" t="s">
        <v>47</v>
      </c>
      <c r="E422" s="13">
        <v>2</v>
      </c>
      <c r="F422" s="11">
        <f>DAY(Tabela5[[#This Row],[Data]])</f>
        <v>29</v>
      </c>
      <c r="G4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23" spans="1:7">
      <c r="A423" s="11" t="s">
        <v>6</v>
      </c>
      <c r="B423" s="12">
        <v>44316</v>
      </c>
      <c r="C423" s="1" t="s">
        <v>36</v>
      </c>
      <c r="D423" s="1" t="s">
        <v>47</v>
      </c>
      <c r="E423" s="13">
        <v>2</v>
      </c>
      <c r="F423" s="11">
        <f>DAY(Tabela5[[#This Row],[Data]])</f>
        <v>30</v>
      </c>
      <c r="G4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24" spans="1:7">
      <c r="A424" s="11" t="s">
        <v>6</v>
      </c>
      <c r="B424" s="12">
        <v>44316</v>
      </c>
      <c r="C424" s="1" t="s">
        <v>36</v>
      </c>
      <c r="D424" s="1" t="s">
        <v>47</v>
      </c>
      <c r="E424" s="13">
        <v>2</v>
      </c>
      <c r="F424" s="11">
        <f>DAY(Tabela5[[#This Row],[Data]])</f>
        <v>30</v>
      </c>
      <c r="G4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25" spans="1:7">
      <c r="A425" s="11" t="s">
        <v>6</v>
      </c>
      <c r="B425" s="12">
        <v>44316</v>
      </c>
      <c r="C425" s="1" t="s">
        <v>36</v>
      </c>
      <c r="D425" s="1" t="s">
        <v>47</v>
      </c>
      <c r="E425" s="13">
        <v>2</v>
      </c>
      <c r="F425" s="11">
        <f>DAY(Tabela5[[#This Row],[Data]])</f>
        <v>30</v>
      </c>
      <c r="G4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26" spans="1:7">
      <c r="A426" s="11" t="s">
        <v>6</v>
      </c>
      <c r="B426" s="12">
        <v>44316</v>
      </c>
      <c r="C426" s="1" t="s">
        <v>36</v>
      </c>
      <c r="D426" s="1" t="s">
        <v>47</v>
      </c>
      <c r="E426" s="13">
        <v>1</v>
      </c>
      <c r="F426" s="11">
        <f>DAY(Tabela5[[#This Row],[Data]])</f>
        <v>30</v>
      </c>
      <c r="G4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27" spans="1:7">
      <c r="A427" s="11" t="s">
        <v>6</v>
      </c>
      <c r="B427" s="12">
        <v>44287</v>
      </c>
      <c r="C427" s="1" t="s">
        <v>37</v>
      </c>
      <c r="D427" s="1" t="s">
        <v>47</v>
      </c>
      <c r="E427" s="13">
        <v>1</v>
      </c>
      <c r="F427" s="11">
        <f>DAY(Tabela5[[#This Row],[Data]])</f>
        <v>1</v>
      </c>
      <c r="G4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28" spans="1:7">
      <c r="A428" s="11" t="s">
        <v>6</v>
      </c>
      <c r="B428" s="12">
        <v>44291</v>
      </c>
      <c r="C428" s="1" t="s">
        <v>37</v>
      </c>
      <c r="D428" s="1" t="s">
        <v>47</v>
      </c>
      <c r="E428" s="13">
        <v>1</v>
      </c>
      <c r="F428" s="11">
        <f>DAY(Tabela5[[#This Row],[Data]])</f>
        <v>5</v>
      </c>
      <c r="G4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29" spans="1:7">
      <c r="A429" s="11" t="s">
        <v>6</v>
      </c>
      <c r="B429" s="12">
        <v>44292</v>
      </c>
      <c r="C429" s="1" t="s">
        <v>37</v>
      </c>
      <c r="D429" s="1" t="s">
        <v>47</v>
      </c>
      <c r="E429" s="13">
        <v>2</v>
      </c>
      <c r="F429" s="11">
        <f>DAY(Tabela5[[#This Row],[Data]])</f>
        <v>6</v>
      </c>
      <c r="G4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30" spans="1:7">
      <c r="A430" s="11" t="s">
        <v>6</v>
      </c>
      <c r="B430" s="12">
        <v>44293</v>
      </c>
      <c r="C430" s="1" t="s">
        <v>37</v>
      </c>
      <c r="D430" s="1" t="s">
        <v>47</v>
      </c>
      <c r="E430" s="13">
        <v>1</v>
      </c>
      <c r="F430" s="11">
        <f>DAY(Tabela5[[#This Row],[Data]])</f>
        <v>7</v>
      </c>
      <c r="G4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31" spans="1:7">
      <c r="A431" s="11" t="s">
        <v>6</v>
      </c>
      <c r="B431" s="12">
        <v>44294</v>
      </c>
      <c r="C431" s="1" t="s">
        <v>37</v>
      </c>
      <c r="D431" s="1" t="s">
        <v>47</v>
      </c>
      <c r="E431" s="13">
        <v>2</v>
      </c>
      <c r="F431" s="11">
        <f>DAY(Tabela5[[#This Row],[Data]])</f>
        <v>8</v>
      </c>
      <c r="G4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32" spans="1:7">
      <c r="A432" s="11" t="s">
        <v>6</v>
      </c>
      <c r="B432" s="12">
        <v>44295</v>
      </c>
      <c r="C432" s="1" t="s">
        <v>37</v>
      </c>
      <c r="D432" s="1" t="s">
        <v>47</v>
      </c>
      <c r="E432" s="13">
        <v>1</v>
      </c>
      <c r="F432" s="11">
        <f>DAY(Tabela5[[#This Row],[Data]])</f>
        <v>9</v>
      </c>
      <c r="G4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33" spans="1:7">
      <c r="A433" s="11" t="s">
        <v>6</v>
      </c>
      <c r="B433" s="12">
        <v>44298</v>
      </c>
      <c r="C433" s="1" t="s">
        <v>37</v>
      </c>
      <c r="D433" s="1" t="s">
        <v>47</v>
      </c>
      <c r="E433" s="13">
        <v>1</v>
      </c>
      <c r="F433" s="11">
        <f>DAY(Tabela5[[#This Row],[Data]])</f>
        <v>12</v>
      </c>
      <c r="G4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34" spans="1:7">
      <c r="A434" s="11" t="s">
        <v>6</v>
      </c>
      <c r="B434" s="12">
        <v>44299</v>
      </c>
      <c r="C434" s="1" t="s">
        <v>37</v>
      </c>
      <c r="D434" s="1" t="s">
        <v>47</v>
      </c>
      <c r="E434" s="13">
        <v>2</v>
      </c>
      <c r="F434" s="11">
        <f>DAY(Tabela5[[#This Row],[Data]])</f>
        <v>13</v>
      </c>
      <c r="G4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35" spans="1:7">
      <c r="A435" s="11" t="s">
        <v>6</v>
      </c>
      <c r="B435" s="12">
        <v>44300</v>
      </c>
      <c r="C435" s="1" t="s">
        <v>37</v>
      </c>
      <c r="D435" s="1" t="s">
        <v>47</v>
      </c>
      <c r="E435" s="13">
        <v>1</v>
      </c>
      <c r="F435" s="11">
        <f>DAY(Tabela5[[#This Row],[Data]])</f>
        <v>14</v>
      </c>
      <c r="G4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36" spans="1:7">
      <c r="A436" s="11" t="s">
        <v>6</v>
      </c>
      <c r="B436" s="12">
        <v>44301</v>
      </c>
      <c r="C436" s="1" t="s">
        <v>37</v>
      </c>
      <c r="D436" s="1" t="s">
        <v>47</v>
      </c>
      <c r="E436" s="13">
        <v>2</v>
      </c>
      <c r="F436" s="11">
        <f>DAY(Tabela5[[#This Row],[Data]])</f>
        <v>15</v>
      </c>
      <c r="G4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37" spans="1:7">
      <c r="A437" s="11" t="s">
        <v>6</v>
      </c>
      <c r="B437" s="12">
        <v>44302</v>
      </c>
      <c r="C437" s="1" t="s">
        <v>37</v>
      </c>
      <c r="D437" s="1" t="s">
        <v>47</v>
      </c>
      <c r="E437" s="13">
        <v>1</v>
      </c>
      <c r="F437" s="11">
        <f>DAY(Tabela5[[#This Row],[Data]])</f>
        <v>16</v>
      </c>
      <c r="G4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38" spans="1:7">
      <c r="A438" s="11" t="s">
        <v>6</v>
      </c>
      <c r="B438" s="12">
        <v>44302</v>
      </c>
      <c r="C438" s="1" t="s">
        <v>37</v>
      </c>
      <c r="D438" s="1" t="s">
        <v>47</v>
      </c>
      <c r="E438" s="13">
        <v>1</v>
      </c>
      <c r="F438" s="11">
        <f>DAY(Tabela5[[#This Row],[Data]])</f>
        <v>16</v>
      </c>
      <c r="G4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39" spans="1:7">
      <c r="A439" s="11" t="s">
        <v>6</v>
      </c>
      <c r="B439" s="12">
        <v>44305</v>
      </c>
      <c r="C439" s="1" t="s">
        <v>37</v>
      </c>
      <c r="D439" s="1" t="s">
        <v>47</v>
      </c>
      <c r="E439" s="13">
        <v>1</v>
      </c>
      <c r="F439" s="11">
        <f>DAY(Tabela5[[#This Row],[Data]])</f>
        <v>19</v>
      </c>
      <c r="G4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40" spans="1:7">
      <c r="A440" s="11" t="s">
        <v>6</v>
      </c>
      <c r="B440" s="12">
        <v>44306</v>
      </c>
      <c r="C440" s="1" t="s">
        <v>37</v>
      </c>
      <c r="D440" s="1" t="s">
        <v>47</v>
      </c>
      <c r="E440" s="13">
        <v>1</v>
      </c>
      <c r="F440" s="11">
        <f>DAY(Tabela5[[#This Row],[Data]])</f>
        <v>20</v>
      </c>
      <c r="G4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41" spans="1:7">
      <c r="A441" s="11" t="s">
        <v>6</v>
      </c>
      <c r="B441" s="12">
        <v>44308</v>
      </c>
      <c r="C441" s="1" t="s">
        <v>37</v>
      </c>
      <c r="D441" s="1" t="s">
        <v>47</v>
      </c>
      <c r="E441" s="13">
        <v>1</v>
      </c>
      <c r="F441" s="11">
        <f>DAY(Tabela5[[#This Row],[Data]])</f>
        <v>22</v>
      </c>
      <c r="G4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42" spans="1:7">
      <c r="A442" s="11" t="s">
        <v>6</v>
      </c>
      <c r="B442" s="12">
        <v>44309</v>
      </c>
      <c r="C442" s="1" t="s">
        <v>37</v>
      </c>
      <c r="D442" s="1" t="s">
        <v>47</v>
      </c>
      <c r="E442" s="13">
        <v>2</v>
      </c>
      <c r="F442" s="11">
        <f>DAY(Tabela5[[#This Row],[Data]])</f>
        <v>23</v>
      </c>
      <c r="G4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43" spans="1:7">
      <c r="A443" s="11" t="s">
        <v>6</v>
      </c>
      <c r="B443" s="12">
        <v>44312</v>
      </c>
      <c r="C443" s="1" t="s">
        <v>37</v>
      </c>
      <c r="D443" s="1" t="s">
        <v>47</v>
      </c>
      <c r="E443" s="13">
        <v>1</v>
      </c>
      <c r="F443" s="11">
        <f>DAY(Tabela5[[#This Row],[Data]])</f>
        <v>26</v>
      </c>
      <c r="G4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44" spans="1:7">
      <c r="A444" s="11" t="s">
        <v>6</v>
      </c>
      <c r="B444" s="12">
        <v>44312</v>
      </c>
      <c r="C444" s="1" t="s">
        <v>37</v>
      </c>
      <c r="D444" s="1" t="s">
        <v>47</v>
      </c>
      <c r="E444" s="13">
        <v>1</v>
      </c>
      <c r="F444" s="11">
        <f>DAY(Tabela5[[#This Row],[Data]])</f>
        <v>26</v>
      </c>
      <c r="G4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45" spans="1:7">
      <c r="A445" s="11" t="s">
        <v>6</v>
      </c>
      <c r="B445" s="12">
        <v>44313</v>
      </c>
      <c r="C445" s="1" t="s">
        <v>37</v>
      </c>
      <c r="D445" s="1" t="s">
        <v>47</v>
      </c>
      <c r="E445" s="13">
        <v>2</v>
      </c>
      <c r="F445" s="11">
        <f>DAY(Tabela5[[#This Row],[Data]])</f>
        <v>27</v>
      </c>
      <c r="G4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46" spans="1:7">
      <c r="A446" s="11" t="s">
        <v>6</v>
      </c>
      <c r="B446" s="12">
        <v>44314</v>
      </c>
      <c r="C446" s="1" t="s">
        <v>37</v>
      </c>
      <c r="D446" s="1" t="s">
        <v>47</v>
      </c>
      <c r="E446" s="13">
        <v>2</v>
      </c>
      <c r="F446" s="11">
        <f>DAY(Tabela5[[#This Row],[Data]])</f>
        <v>28</v>
      </c>
      <c r="G4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47" spans="1:7">
      <c r="A447" s="11" t="s">
        <v>6</v>
      </c>
      <c r="B447" s="12">
        <v>44315</v>
      </c>
      <c r="C447" s="1" t="s">
        <v>37</v>
      </c>
      <c r="D447" s="1" t="s">
        <v>47</v>
      </c>
      <c r="E447" s="13">
        <v>2</v>
      </c>
      <c r="F447" s="11">
        <f>DAY(Tabela5[[#This Row],[Data]])</f>
        <v>29</v>
      </c>
      <c r="G4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48" spans="1:7">
      <c r="A448" s="11" t="s">
        <v>6</v>
      </c>
      <c r="B448" s="12">
        <v>44316</v>
      </c>
      <c r="C448" s="1" t="s">
        <v>37</v>
      </c>
      <c r="D448" s="1" t="s">
        <v>47</v>
      </c>
      <c r="E448" s="13">
        <v>1</v>
      </c>
      <c r="F448" s="11">
        <f>DAY(Tabela5[[#This Row],[Data]])</f>
        <v>30</v>
      </c>
      <c r="G4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49" spans="1:7">
      <c r="A449" s="11" t="s">
        <v>6</v>
      </c>
      <c r="B449" s="12">
        <v>44316</v>
      </c>
      <c r="C449" s="1" t="s">
        <v>37</v>
      </c>
      <c r="D449" s="1" t="s">
        <v>47</v>
      </c>
      <c r="E449" s="13">
        <v>2</v>
      </c>
      <c r="F449" s="11">
        <f>DAY(Tabela5[[#This Row],[Data]])</f>
        <v>30</v>
      </c>
      <c r="G4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50" spans="1:7">
      <c r="A450" s="11" t="s">
        <v>6</v>
      </c>
      <c r="B450" s="12">
        <v>44291</v>
      </c>
      <c r="C450" s="1" t="s">
        <v>11</v>
      </c>
      <c r="D450" s="1" t="s">
        <v>47</v>
      </c>
      <c r="E450" s="13">
        <v>2</v>
      </c>
      <c r="F450" s="11">
        <f>DAY(Tabela5[[#This Row],[Data]])</f>
        <v>5</v>
      </c>
      <c r="G4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51" spans="1:7">
      <c r="A451" s="11" t="s">
        <v>6</v>
      </c>
      <c r="B451" s="12">
        <v>44292</v>
      </c>
      <c r="C451" s="1" t="s">
        <v>11</v>
      </c>
      <c r="D451" s="1" t="s">
        <v>47</v>
      </c>
      <c r="E451" s="13">
        <v>1</v>
      </c>
      <c r="F451" s="11">
        <f>DAY(Tabela5[[#This Row],[Data]])</f>
        <v>6</v>
      </c>
      <c r="G4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52" spans="1:7">
      <c r="A452" s="11" t="s">
        <v>6</v>
      </c>
      <c r="B452" s="12">
        <v>44293</v>
      </c>
      <c r="C452" s="1" t="s">
        <v>11</v>
      </c>
      <c r="D452" s="1" t="s">
        <v>47</v>
      </c>
      <c r="E452" s="13">
        <v>1</v>
      </c>
      <c r="F452" s="11">
        <f>DAY(Tabela5[[#This Row],[Data]])</f>
        <v>7</v>
      </c>
      <c r="G4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53" spans="1:7">
      <c r="A453" s="11" t="s">
        <v>6</v>
      </c>
      <c r="B453" s="12">
        <v>44294</v>
      </c>
      <c r="C453" s="1" t="s">
        <v>11</v>
      </c>
      <c r="D453" s="1" t="s">
        <v>47</v>
      </c>
      <c r="E453" s="13">
        <v>2</v>
      </c>
      <c r="F453" s="11">
        <f>DAY(Tabela5[[#This Row],[Data]])</f>
        <v>8</v>
      </c>
      <c r="G4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54" spans="1:7">
      <c r="A454" s="11" t="s">
        <v>6</v>
      </c>
      <c r="B454" s="12">
        <v>44295</v>
      </c>
      <c r="C454" s="1" t="s">
        <v>11</v>
      </c>
      <c r="D454" s="1" t="s">
        <v>47</v>
      </c>
      <c r="E454" s="13">
        <v>1</v>
      </c>
      <c r="F454" s="11">
        <f>DAY(Tabela5[[#This Row],[Data]])</f>
        <v>9</v>
      </c>
      <c r="G4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55" spans="1:7">
      <c r="A455" s="11" t="s">
        <v>6</v>
      </c>
      <c r="B455" s="12">
        <v>44298</v>
      </c>
      <c r="C455" s="1" t="s">
        <v>11</v>
      </c>
      <c r="D455" s="1" t="s">
        <v>47</v>
      </c>
      <c r="E455" s="13">
        <v>1</v>
      </c>
      <c r="F455" s="11">
        <f>DAY(Tabela5[[#This Row],[Data]])</f>
        <v>12</v>
      </c>
      <c r="G4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56" spans="1:7">
      <c r="A456" s="11" t="s">
        <v>6</v>
      </c>
      <c r="B456" s="12">
        <v>44299</v>
      </c>
      <c r="C456" s="1" t="s">
        <v>11</v>
      </c>
      <c r="D456" s="1" t="s">
        <v>47</v>
      </c>
      <c r="E456" s="13">
        <v>2</v>
      </c>
      <c r="F456" s="11">
        <f>DAY(Tabela5[[#This Row],[Data]])</f>
        <v>13</v>
      </c>
      <c r="G4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57" spans="1:7">
      <c r="A457" s="11" t="s">
        <v>6</v>
      </c>
      <c r="B457" s="12">
        <v>44300</v>
      </c>
      <c r="C457" s="1" t="s">
        <v>11</v>
      </c>
      <c r="D457" s="1" t="s">
        <v>47</v>
      </c>
      <c r="E457" s="13">
        <v>2</v>
      </c>
      <c r="F457" s="11">
        <f>DAY(Tabela5[[#This Row],[Data]])</f>
        <v>14</v>
      </c>
      <c r="G4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58" spans="1:7">
      <c r="A458" s="11" t="s">
        <v>6</v>
      </c>
      <c r="B458" s="12">
        <v>44301</v>
      </c>
      <c r="C458" s="1" t="s">
        <v>11</v>
      </c>
      <c r="D458" s="1" t="s">
        <v>47</v>
      </c>
      <c r="E458" s="13">
        <v>2</v>
      </c>
      <c r="F458" s="11">
        <f>DAY(Tabela5[[#This Row],[Data]])</f>
        <v>15</v>
      </c>
      <c r="G4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59" spans="1:7">
      <c r="A459" s="11" t="s">
        <v>6</v>
      </c>
      <c r="B459" s="12">
        <v>44302</v>
      </c>
      <c r="C459" s="1" t="s">
        <v>11</v>
      </c>
      <c r="D459" s="1" t="s">
        <v>47</v>
      </c>
      <c r="E459" s="13">
        <v>1</v>
      </c>
      <c r="F459" s="11">
        <f>DAY(Tabela5[[#This Row],[Data]])</f>
        <v>16</v>
      </c>
      <c r="G4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60" spans="1:7">
      <c r="A460" s="11" t="s">
        <v>6</v>
      </c>
      <c r="B460" s="12">
        <v>44305</v>
      </c>
      <c r="C460" s="1" t="s">
        <v>11</v>
      </c>
      <c r="D460" s="1" t="s">
        <v>47</v>
      </c>
      <c r="E460" s="13">
        <v>2</v>
      </c>
      <c r="F460" s="11">
        <f>DAY(Tabela5[[#This Row],[Data]])</f>
        <v>19</v>
      </c>
      <c r="G4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61" spans="1:7">
      <c r="A461" s="11" t="s">
        <v>6</v>
      </c>
      <c r="B461" s="12">
        <v>44306</v>
      </c>
      <c r="C461" s="1" t="s">
        <v>11</v>
      </c>
      <c r="D461" s="1" t="s">
        <v>47</v>
      </c>
      <c r="E461" s="13">
        <v>2</v>
      </c>
      <c r="F461" s="11">
        <f>DAY(Tabela5[[#This Row],[Data]])</f>
        <v>20</v>
      </c>
      <c r="G4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62" spans="1:7">
      <c r="A462" s="11" t="s">
        <v>6</v>
      </c>
      <c r="B462" s="12">
        <v>44308</v>
      </c>
      <c r="C462" s="1" t="s">
        <v>11</v>
      </c>
      <c r="D462" s="1" t="s">
        <v>47</v>
      </c>
      <c r="E462" s="13">
        <v>1</v>
      </c>
      <c r="F462" s="11">
        <f>DAY(Tabela5[[#This Row],[Data]])</f>
        <v>22</v>
      </c>
      <c r="G4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63" spans="1:7">
      <c r="A463" s="11" t="s">
        <v>6</v>
      </c>
      <c r="B463" s="12">
        <v>44309</v>
      </c>
      <c r="C463" s="1" t="s">
        <v>11</v>
      </c>
      <c r="D463" s="1" t="s">
        <v>47</v>
      </c>
      <c r="E463" s="13">
        <v>1</v>
      </c>
      <c r="F463" s="11">
        <f>DAY(Tabela5[[#This Row],[Data]])</f>
        <v>23</v>
      </c>
      <c r="G4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64" spans="1:7">
      <c r="A464" s="11" t="s">
        <v>6</v>
      </c>
      <c r="B464" s="12">
        <v>44312</v>
      </c>
      <c r="C464" s="1" t="s">
        <v>11</v>
      </c>
      <c r="D464" s="1" t="s">
        <v>47</v>
      </c>
      <c r="E464" s="13">
        <v>2</v>
      </c>
      <c r="F464" s="11">
        <f>DAY(Tabela5[[#This Row],[Data]])</f>
        <v>26</v>
      </c>
      <c r="G4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65" spans="1:7">
      <c r="A465" s="11" t="s">
        <v>6</v>
      </c>
      <c r="B465" s="12">
        <v>44313</v>
      </c>
      <c r="C465" s="1" t="s">
        <v>11</v>
      </c>
      <c r="D465" s="1" t="s">
        <v>47</v>
      </c>
      <c r="E465" s="13">
        <v>1</v>
      </c>
      <c r="F465" s="11">
        <f>DAY(Tabela5[[#This Row],[Data]])</f>
        <v>27</v>
      </c>
      <c r="G4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66" spans="1:7">
      <c r="A466" s="11" t="s">
        <v>6</v>
      </c>
      <c r="B466" s="12">
        <v>44314</v>
      </c>
      <c r="C466" s="1" t="s">
        <v>11</v>
      </c>
      <c r="D466" s="1" t="s">
        <v>47</v>
      </c>
      <c r="E466" s="13">
        <v>1</v>
      </c>
      <c r="F466" s="11">
        <f>DAY(Tabela5[[#This Row],[Data]])</f>
        <v>28</v>
      </c>
      <c r="G4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67" spans="1:7">
      <c r="A467" s="11" t="s">
        <v>6</v>
      </c>
      <c r="B467" s="12">
        <v>44315</v>
      </c>
      <c r="C467" s="1" t="s">
        <v>11</v>
      </c>
      <c r="D467" s="1" t="s">
        <v>47</v>
      </c>
      <c r="E467" s="13">
        <v>1</v>
      </c>
      <c r="F467" s="11">
        <f>DAY(Tabela5[[#This Row],[Data]])</f>
        <v>29</v>
      </c>
      <c r="G4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68" spans="1:7">
      <c r="A468" s="11" t="s">
        <v>6</v>
      </c>
      <c r="B468" s="12">
        <v>44316</v>
      </c>
      <c r="C468" s="1" t="s">
        <v>11</v>
      </c>
      <c r="D468" s="1" t="s">
        <v>47</v>
      </c>
      <c r="E468" s="13">
        <v>2</v>
      </c>
      <c r="F468" s="11">
        <f>DAY(Tabela5[[#This Row],[Data]])</f>
        <v>30</v>
      </c>
      <c r="G4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69" spans="1:7">
      <c r="A469" s="11" t="s">
        <v>6</v>
      </c>
      <c r="B469" s="12">
        <v>44287</v>
      </c>
      <c r="C469" s="1" t="s">
        <v>12</v>
      </c>
      <c r="D469" s="1" t="s">
        <v>47</v>
      </c>
      <c r="E469" s="13">
        <v>1</v>
      </c>
      <c r="F469" s="11">
        <f>DAY(Tabela5[[#This Row],[Data]])</f>
        <v>1</v>
      </c>
      <c r="G4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70" spans="1:7">
      <c r="A470" s="11" t="s">
        <v>6</v>
      </c>
      <c r="B470" s="12">
        <v>44291</v>
      </c>
      <c r="C470" s="1" t="s">
        <v>12</v>
      </c>
      <c r="D470" s="1" t="s">
        <v>47</v>
      </c>
      <c r="E470" s="13">
        <v>1</v>
      </c>
      <c r="F470" s="11">
        <f>DAY(Tabela5[[#This Row],[Data]])</f>
        <v>5</v>
      </c>
      <c r="G4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71" spans="1:7">
      <c r="A471" s="11" t="s">
        <v>6</v>
      </c>
      <c r="B471" s="12">
        <v>44292</v>
      </c>
      <c r="C471" s="1" t="s">
        <v>12</v>
      </c>
      <c r="D471" s="1" t="s">
        <v>47</v>
      </c>
      <c r="E471" s="13">
        <v>2</v>
      </c>
      <c r="F471" s="11">
        <f>DAY(Tabela5[[#This Row],[Data]])</f>
        <v>6</v>
      </c>
      <c r="G4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72" spans="1:7">
      <c r="A472" s="11" t="s">
        <v>6</v>
      </c>
      <c r="B472" s="12">
        <v>44293</v>
      </c>
      <c r="C472" s="1" t="s">
        <v>12</v>
      </c>
      <c r="D472" s="1" t="s">
        <v>47</v>
      </c>
      <c r="E472" s="13">
        <v>2</v>
      </c>
      <c r="F472" s="11">
        <f>DAY(Tabela5[[#This Row],[Data]])</f>
        <v>7</v>
      </c>
      <c r="G4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73" spans="1:7">
      <c r="A473" s="11" t="s">
        <v>6</v>
      </c>
      <c r="B473" s="12">
        <v>44294</v>
      </c>
      <c r="C473" s="1" t="s">
        <v>12</v>
      </c>
      <c r="D473" s="1" t="s">
        <v>47</v>
      </c>
      <c r="E473" s="13">
        <v>1</v>
      </c>
      <c r="F473" s="11">
        <f>DAY(Tabela5[[#This Row],[Data]])</f>
        <v>8</v>
      </c>
      <c r="G4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74" spans="1:7">
      <c r="A474" s="11" t="s">
        <v>6</v>
      </c>
      <c r="B474" s="12">
        <v>44295</v>
      </c>
      <c r="C474" s="1" t="s">
        <v>12</v>
      </c>
      <c r="D474" s="1" t="s">
        <v>47</v>
      </c>
      <c r="E474" s="13">
        <v>2</v>
      </c>
      <c r="F474" s="11">
        <f>DAY(Tabela5[[#This Row],[Data]])</f>
        <v>9</v>
      </c>
      <c r="G4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75" spans="1:7">
      <c r="A475" s="11" t="s">
        <v>6</v>
      </c>
      <c r="B475" s="12">
        <v>44298</v>
      </c>
      <c r="C475" s="1" t="s">
        <v>12</v>
      </c>
      <c r="D475" s="1" t="s">
        <v>47</v>
      </c>
      <c r="E475" s="13">
        <v>1</v>
      </c>
      <c r="F475" s="11">
        <f>DAY(Tabela5[[#This Row],[Data]])</f>
        <v>12</v>
      </c>
      <c r="G4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76" spans="1:7">
      <c r="A476" s="11" t="s">
        <v>6</v>
      </c>
      <c r="B476" s="12">
        <v>44299</v>
      </c>
      <c r="C476" s="1" t="s">
        <v>12</v>
      </c>
      <c r="D476" s="1" t="s">
        <v>47</v>
      </c>
      <c r="E476" s="13">
        <v>2</v>
      </c>
      <c r="F476" s="11">
        <f>DAY(Tabela5[[#This Row],[Data]])</f>
        <v>13</v>
      </c>
      <c r="G4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77" spans="1:7">
      <c r="A477" s="11" t="s">
        <v>6</v>
      </c>
      <c r="B477" s="12">
        <v>44300</v>
      </c>
      <c r="C477" s="1" t="s">
        <v>12</v>
      </c>
      <c r="D477" s="1" t="s">
        <v>47</v>
      </c>
      <c r="E477" s="13">
        <v>2</v>
      </c>
      <c r="F477" s="11">
        <f>DAY(Tabela5[[#This Row],[Data]])</f>
        <v>14</v>
      </c>
      <c r="G4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78" spans="1:7">
      <c r="A478" s="11" t="s">
        <v>6</v>
      </c>
      <c r="B478" s="12">
        <v>44301</v>
      </c>
      <c r="C478" s="1" t="s">
        <v>12</v>
      </c>
      <c r="D478" s="1" t="s">
        <v>47</v>
      </c>
      <c r="E478" s="13">
        <v>1</v>
      </c>
      <c r="F478" s="11">
        <f>DAY(Tabela5[[#This Row],[Data]])</f>
        <v>15</v>
      </c>
      <c r="G4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79" spans="1:7">
      <c r="A479" s="11" t="s">
        <v>6</v>
      </c>
      <c r="B479" s="12">
        <v>44302</v>
      </c>
      <c r="C479" s="1" t="s">
        <v>12</v>
      </c>
      <c r="D479" s="1" t="s">
        <v>47</v>
      </c>
      <c r="E479" s="13">
        <v>1</v>
      </c>
      <c r="F479" s="11">
        <f>DAY(Tabela5[[#This Row],[Data]])</f>
        <v>16</v>
      </c>
      <c r="G4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80" spans="1:7">
      <c r="A480" s="11" t="s">
        <v>6</v>
      </c>
      <c r="B480" s="12">
        <v>44305</v>
      </c>
      <c r="C480" s="1" t="s">
        <v>12</v>
      </c>
      <c r="D480" s="1" t="s">
        <v>47</v>
      </c>
      <c r="E480" s="13">
        <v>2</v>
      </c>
      <c r="F480" s="11">
        <f>DAY(Tabela5[[#This Row],[Data]])</f>
        <v>19</v>
      </c>
      <c r="G4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81" spans="1:7">
      <c r="A481" s="11" t="s">
        <v>6</v>
      </c>
      <c r="B481" s="12">
        <v>44306</v>
      </c>
      <c r="C481" s="1" t="s">
        <v>12</v>
      </c>
      <c r="D481" s="1" t="s">
        <v>47</v>
      </c>
      <c r="E481" s="13">
        <v>1</v>
      </c>
      <c r="F481" s="11">
        <f>DAY(Tabela5[[#This Row],[Data]])</f>
        <v>20</v>
      </c>
      <c r="G4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82" spans="1:7">
      <c r="A482" s="11" t="s">
        <v>6</v>
      </c>
      <c r="B482" s="12">
        <v>44308</v>
      </c>
      <c r="C482" s="1" t="s">
        <v>12</v>
      </c>
      <c r="D482" s="1" t="s">
        <v>47</v>
      </c>
      <c r="E482" s="13">
        <v>2</v>
      </c>
      <c r="F482" s="11">
        <f>DAY(Tabela5[[#This Row],[Data]])</f>
        <v>22</v>
      </c>
      <c r="G4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83" spans="1:7">
      <c r="A483" s="11" t="s">
        <v>6</v>
      </c>
      <c r="B483" s="12">
        <v>44309</v>
      </c>
      <c r="C483" s="1" t="s">
        <v>12</v>
      </c>
      <c r="D483" s="1" t="s">
        <v>47</v>
      </c>
      <c r="E483" s="13">
        <v>2</v>
      </c>
      <c r="F483" s="11">
        <f>DAY(Tabela5[[#This Row],[Data]])</f>
        <v>23</v>
      </c>
      <c r="G4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84" spans="1:7">
      <c r="A484" s="11" t="s">
        <v>6</v>
      </c>
      <c r="B484" s="12">
        <v>44312</v>
      </c>
      <c r="C484" s="1" t="s">
        <v>12</v>
      </c>
      <c r="D484" s="1" t="s">
        <v>47</v>
      </c>
      <c r="E484" s="13">
        <v>2</v>
      </c>
      <c r="F484" s="11">
        <f>DAY(Tabela5[[#This Row],[Data]])</f>
        <v>26</v>
      </c>
      <c r="G4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85" spans="1:7">
      <c r="A485" s="11" t="s">
        <v>6</v>
      </c>
      <c r="B485" s="12">
        <v>44313</v>
      </c>
      <c r="C485" s="1" t="s">
        <v>12</v>
      </c>
      <c r="D485" s="1" t="s">
        <v>47</v>
      </c>
      <c r="E485" s="13">
        <v>2</v>
      </c>
      <c r="F485" s="11">
        <f>DAY(Tabela5[[#This Row],[Data]])</f>
        <v>27</v>
      </c>
      <c r="G4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86" spans="1:7">
      <c r="A486" s="11" t="s">
        <v>6</v>
      </c>
      <c r="B486" s="12">
        <v>44314</v>
      </c>
      <c r="C486" s="1" t="s">
        <v>12</v>
      </c>
      <c r="D486" s="1" t="s">
        <v>47</v>
      </c>
      <c r="E486" s="13">
        <v>1</v>
      </c>
      <c r="F486" s="11">
        <f>DAY(Tabela5[[#This Row],[Data]])</f>
        <v>28</v>
      </c>
      <c r="G4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87" spans="1:7">
      <c r="A487" s="11" t="s">
        <v>6</v>
      </c>
      <c r="B487" s="12">
        <v>44315</v>
      </c>
      <c r="C487" s="1" t="s">
        <v>12</v>
      </c>
      <c r="D487" s="1" t="s">
        <v>47</v>
      </c>
      <c r="E487" s="13">
        <v>1</v>
      </c>
      <c r="F487" s="11">
        <f>DAY(Tabela5[[#This Row],[Data]])</f>
        <v>29</v>
      </c>
      <c r="G4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88" spans="1:7">
      <c r="A488" s="11" t="s">
        <v>6</v>
      </c>
      <c r="B488" s="12">
        <v>44316</v>
      </c>
      <c r="C488" s="1" t="s">
        <v>12</v>
      </c>
      <c r="D488" s="1" t="s">
        <v>47</v>
      </c>
      <c r="E488" s="13">
        <v>1</v>
      </c>
      <c r="F488" s="11">
        <f>DAY(Tabela5[[#This Row],[Data]])</f>
        <v>30</v>
      </c>
      <c r="G4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489" spans="1:7">
      <c r="A489" s="11" t="s">
        <v>6</v>
      </c>
      <c r="B489" s="12">
        <v>44287</v>
      </c>
      <c r="C489" s="1" t="s">
        <v>24</v>
      </c>
      <c r="D489" s="1" t="s">
        <v>47</v>
      </c>
      <c r="E489" s="13">
        <v>1</v>
      </c>
      <c r="F489" s="11">
        <f>DAY(Tabela5[[#This Row],[Data]])</f>
        <v>1</v>
      </c>
      <c r="G4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90" spans="1:7">
      <c r="A490" s="11" t="s">
        <v>6</v>
      </c>
      <c r="B490" s="12">
        <v>44287</v>
      </c>
      <c r="C490" s="1" t="s">
        <v>24</v>
      </c>
      <c r="D490" s="1" t="s">
        <v>47</v>
      </c>
      <c r="E490" s="13">
        <v>2</v>
      </c>
      <c r="F490" s="11">
        <f>DAY(Tabela5[[#This Row],[Data]])</f>
        <v>1</v>
      </c>
      <c r="G4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491" spans="1:7">
      <c r="A491" s="11" t="s">
        <v>6</v>
      </c>
      <c r="B491" s="12">
        <v>44291</v>
      </c>
      <c r="C491" s="1" t="s">
        <v>24</v>
      </c>
      <c r="D491" s="1" t="s">
        <v>47</v>
      </c>
      <c r="E491" s="13">
        <v>1</v>
      </c>
      <c r="F491" s="11">
        <f>DAY(Tabela5[[#This Row],[Data]])</f>
        <v>5</v>
      </c>
      <c r="G4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92" spans="1:7">
      <c r="A492" s="11" t="s">
        <v>6</v>
      </c>
      <c r="B492" s="12">
        <v>44291</v>
      </c>
      <c r="C492" s="1" t="s">
        <v>24</v>
      </c>
      <c r="D492" s="1" t="s">
        <v>47</v>
      </c>
      <c r="E492" s="13">
        <v>2</v>
      </c>
      <c r="F492" s="11">
        <f>DAY(Tabela5[[#This Row],[Data]])</f>
        <v>5</v>
      </c>
      <c r="G4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93" spans="1:7">
      <c r="A493" s="11" t="s">
        <v>6</v>
      </c>
      <c r="B493" s="12">
        <v>44291</v>
      </c>
      <c r="C493" s="1" t="s">
        <v>24</v>
      </c>
      <c r="D493" s="1" t="s">
        <v>47</v>
      </c>
      <c r="E493" s="13">
        <v>1</v>
      </c>
      <c r="F493" s="11">
        <f>DAY(Tabela5[[#This Row],[Data]])</f>
        <v>5</v>
      </c>
      <c r="G4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494" spans="1:7">
      <c r="A494" s="11" t="s">
        <v>6</v>
      </c>
      <c r="B494" s="12">
        <v>44292</v>
      </c>
      <c r="C494" s="1" t="s">
        <v>24</v>
      </c>
      <c r="D494" s="1" t="s">
        <v>47</v>
      </c>
      <c r="E494" s="13">
        <v>1</v>
      </c>
      <c r="F494" s="11">
        <f>DAY(Tabela5[[#This Row],[Data]])</f>
        <v>6</v>
      </c>
      <c r="G4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95" spans="1:7">
      <c r="A495" s="11" t="s">
        <v>6</v>
      </c>
      <c r="B495" s="12">
        <v>44292</v>
      </c>
      <c r="C495" s="1" t="s">
        <v>24</v>
      </c>
      <c r="D495" s="1" t="s">
        <v>47</v>
      </c>
      <c r="E495" s="13">
        <v>2</v>
      </c>
      <c r="F495" s="11">
        <f>DAY(Tabela5[[#This Row],[Data]])</f>
        <v>6</v>
      </c>
      <c r="G4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496" spans="1:7">
      <c r="A496" s="11" t="s">
        <v>6</v>
      </c>
      <c r="B496" s="12">
        <v>44293</v>
      </c>
      <c r="C496" s="1" t="s">
        <v>24</v>
      </c>
      <c r="D496" s="1" t="s">
        <v>47</v>
      </c>
      <c r="E496" s="13">
        <v>2</v>
      </c>
      <c r="F496" s="11">
        <f>DAY(Tabela5[[#This Row],[Data]])</f>
        <v>7</v>
      </c>
      <c r="G4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97" spans="1:7">
      <c r="A497" s="11" t="s">
        <v>6</v>
      </c>
      <c r="B497" s="12">
        <v>44293</v>
      </c>
      <c r="C497" s="1" t="s">
        <v>24</v>
      </c>
      <c r="D497" s="1" t="s">
        <v>47</v>
      </c>
      <c r="E497" s="13">
        <v>1</v>
      </c>
      <c r="F497" s="11">
        <f>DAY(Tabela5[[#This Row],[Data]])</f>
        <v>7</v>
      </c>
      <c r="G4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98" spans="1:7">
      <c r="A498" s="11" t="s">
        <v>6</v>
      </c>
      <c r="B498" s="12">
        <v>44293</v>
      </c>
      <c r="C498" s="1" t="s">
        <v>24</v>
      </c>
      <c r="D498" s="1" t="s">
        <v>47</v>
      </c>
      <c r="E498" s="13">
        <v>2</v>
      </c>
      <c r="F498" s="11">
        <f>DAY(Tabela5[[#This Row],[Data]])</f>
        <v>7</v>
      </c>
      <c r="G4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499" spans="1:7">
      <c r="A499" s="11" t="s">
        <v>6</v>
      </c>
      <c r="B499" s="12">
        <v>44294</v>
      </c>
      <c r="C499" s="1" t="s">
        <v>24</v>
      </c>
      <c r="D499" s="1" t="s">
        <v>47</v>
      </c>
      <c r="E499" s="13">
        <v>2</v>
      </c>
      <c r="F499" s="11">
        <f>DAY(Tabela5[[#This Row],[Data]])</f>
        <v>8</v>
      </c>
      <c r="G4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00" spans="1:7">
      <c r="A500" s="11" t="s">
        <v>6</v>
      </c>
      <c r="B500" s="12">
        <v>44294</v>
      </c>
      <c r="C500" s="1" t="s">
        <v>24</v>
      </c>
      <c r="D500" s="1" t="s">
        <v>47</v>
      </c>
      <c r="E500" s="13">
        <v>2</v>
      </c>
      <c r="F500" s="11">
        <f>DAY(Tabela5[[#This Row],[Data]])</f>
        <v>8</v>
      </c>
      <c r="G5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01" spans="1:7">
      <c r="A501" s="11" t="s">
        <v>6</v>
      </c>
      <c r="B501" s="12">
        <v>44294</v>
      </c>
      <c r="C501" s="1" t="s">
        <v>24</v>
      </c>
      <c r="D501" s="1" t="s">
        <v>47</v>
      </c>
      <c r="E501" s="13">
        <v>1</v>
      </c>
      <c r="F501" s="11">
        <f>DAY(Tabela5[[#This Row],[Data]])</f>
        <v>8</v>
      </c>
      <c r="G5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02" spans="1:7">
      <c r="A502" s="11" t="s">
        <v>6</v>
      </c>
      <c r="B502" s="12">
        <v>44295</v>
      </c>
      <c r="C502" s="1" t="s">
        <v>24</v>
      </c>
      <c r="D502" s="1" t="s">
        <v>47</v>
      </c>
      <c r="E502" s="13">
        <v>2</v>
      </c>
      <c r="F502" s="11">
        <f>DAY(Tabela5[[#This Row],[Data]])</f>
        <v>9</v>
      </c>
      <c r="G5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03" spans="1:7">
      <c r="A503" s="11" t="s">
        <v>6</v>
      </c>
      <c r="B503" s="12">
        <v>44295</v>
      </c>
      <c r="C503" s="1" t="s">
        <v>24</v>
      </c>
      <c r="D503" s="1" t="s">
        <v>47</v>
      </c>
      <c r="E503" s="13">
        <v>2</v>
      </c>
      <c r="F503" s="11">
        <f>DAY(Tabela5[[#This Row],[Data]])</f>
        <v>9</v>
      </c>
      <c r="G5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04" spans="1:7">
      <c r="A504" s="11" t="s">
        <v>6</v>
      </c>
      <c r="B504" s="12">
        <v>44295</v>
      </c>
      <c r="C504" s="1" t="s">
        <v>24</v>
      </c>
      <c r="D504" s="1" t="s">
        <v>47</v>
      </c>
      <c r="E504" s="13">
        <v>1</v>
      </c>
      <c r="F504" s="11">
        <f>DAY(Tabela5[[#This Row],[Data]])</f>
        <v>9</v>
      </c>
      <c r="G5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05" spans="1:7">
      <c r="A505" s="11" t="s">
        <v>6</v>
      </c>
      <c r="B505" s="12">
        <v>44296</v>
      </c>
      <c r="C505" s="1" t="s">
        <v>24</v>
      </c>
      <c r="D505" s="1" t="s">
        <v>47</v>
      </c>
      <c r="E505" s="13">
        <v>1</v>
      </c>
      <c r="F505" s="11">
        <f>DAY(Tabela5[[#This Row],[Data]])</f>
        <v>10</v>
      </c>
      <c r="G5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506" spans="1:7">
      <c r="A506" s="11" t="s">
        <v>6</v>
      </c>
      <c r="B506" s="12">
        <v>44296</v>
      </c>
      <c r="C506" s="1" t="s">
        <v>24</v>
      </c>
      <c r="D506" s="1" t="s">
        <v>47</v>
      </c>
      <c r="E506" s="13">
        <v>1</v>
      </c>
      <c r="F506" s="11">
        <f>DAY(Tabela5[[#This Row],[Data]])</f>
        <v>10</v>
      </c>
      <c r="G5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507" spans="1:7">
      <c r="A507" s="11" t="s">
        <v>6</v>
      </c>
      <c r="B507" s="12">
        <v>44298</v>
      </c>
      <c r="C507" s="1" t="s">
        <v>24</v>
      </c>
      <c r="D507" s="1" t="s">
        <v>47</v>
      </c>
      <c r="E507" s="13">
        <v>2</v>
      </c>
      <c r="F507" s="11">
        <f>DAY(Tabela5[[#This Row],[Data]])</f>
        <v>12</v>
      </c>
      <c r="G5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08" spans="1:7">
      <c r="A508" s="11" t="s">
        <v>6</v>
      </c>
      <c r="B508" s="12">
        <v>44299</v>
      </c>
      <c r="C508" s="1" t="s">
        <v>24</v>
      </c>
      <c r="D508" s="1" t="s">
        <v>47</v>
      </c>
      <c r="E508" s="13">
        <v>2</v>
      </c>
      <c r="F508" s="11">
        <f>DAY(Tabela5[[#This Row],[Data]])</f>
        <v>13</v>
      </c>
      <c r="G5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09" spans="1:7">
      <c r="A509" s="11" t="s">
        <v>6</v>
      </c>
      <c r="B509" s="12">
        <v>44299</v>
      </c>
      <c r="C509" s="1" t="s">
        <v>24</v>
      </c>
      <c r="D509" s="1" t="s">
        <v>47</v>
      </c>
      <c r="E509" s="13">
        <v>1</v>
      </c>
      <c r="F509" s="11">
        <f>DAY(Tabela5[[#This Row],[Data]])</f>
        <v>13</v>
      </c>
      <c r="G5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10" spans="1:7">
      <c r="A510" s="11" t="s">
        <v>6</v>
      </c>
      <c r="B510" s="12">
        <v>44300</v>
      </c>
      <c r="C510" s="1" t="s">
        <v>24</v>
      </c>
      <c r="D510" s="1" t="s">
        <v>47</v>
      </c>
      <c r="E510" s="13">
        <v>2</v>
      </c>
      <c r="F510" s="11">
        <f>DAY(Tabela5[[#This Row],[Data]])</f>
        <v>14</v>
      </c>
      <c r="G5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11" spans="1:7">
      <c r="A511" s="11" t="s">
        <v>6</v>
      </c>
      <c r="B511" s="12">
        <v>44300</v>
      </c>
      <c r="C511" s="1" t="s">
        <v>24</v>
      </c>
      <c r="D511" s="1" t="s">
        <v>47</v>
      </c>
      <c r="E511" s="13">
        <v>1</v>
      </c>
      <c r="F511" s="11">
        <f>DAY(Tabela5[[#This Row],[Data]])</f>
        <v>14</v>
      </c>
      <c r="G5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12" spans="1:7">
      <c r="A512" s="11" t="s">
        <v>6</v>
      </c>
      <c r="B512" s="12">
        <v>44300</v>
      </c>
      <c r="C512" s="1" t="s">
        <v>24</v>
      </c>
      <c r="D512" s="1" t="s">
        <v>47</v>
      </c>
      <c r="E512" s="13">
        <v>1</v>
      </c>
      <c r="F512" s="11">
        <f>DAY(Tabela5[[#This Row],[Data]])</f>
        <v>14</v>
      </c>
      <c r="G5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13" spans="1:7">
      <c r="A513" s="11" t="s">
        <v>6</v>
      </c>
      <c r="B513" s="12">
        <v>44301</v>
      </c>
      <c r="C513" s="1" t="s">
        <v>24</v>
      </c>
      <c r="D513" s="1" t="s">
        <v>47</v>
      </c>
      <c r="E513" s="13">
        <v>2</v>
      </c>
      <c r="F513" s="11">
        <f>DAY(Tabela5[[#This Row],[Data]])</f>
        <v>15</v>
      </c>
      <c r="G5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14" spans="1:7">
      <c r="A514" s="11" t="s">
        <v>6</v>
      </c>
      <c r="B514" s="12">
        <v>44301</v>
      </c>
      <c r="C514" s="1" t="s">
        <v>24</v>
      </c>
      <c r="D514" s="1" t="s">
        <v>47</v>
      </c>
      <c r="E514" s="13">
        <v>2</v>
      </c>
      <c r="F514" s="11">
        <f>DAY(Tabela5[[#This Row],[Data]])</f>
        <v>15</v>
      </c>
      <c r="G5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15" spans="1:7">
      <c r="A515" s="11" t="s">
        <v>6</v>
      </c>
      <c r="B515" s="12">
        <v>44302</v>
      </c>
      <c r="C515" s="1" t="s">
        <v>24</v>
      </c>
      <c r="D515" s="1" t="s">
        <v>47</v>
      </c>
      <c r="E515" s="13">
        <v>2</v>
      </c>
      <c r="F515" s="11">
        <f>DAY(Tabela5[[#This Row],[Data]])</f>
        <v>16</v>
      </c>
      <c r="G5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16" spans="1:7">
      <c r="A516" s="11" t="s">
        <v>6</v>
      </c>
      <c r="B516" s="12">
        <v>44302</v>
      </c>
      <c r="C516" s="1" t="s">
        <v>24</v>
      </c>
      <c r="D516" s="1" t="s">
        <v>47</v>
      </c>
      <c r="E516" s="13">
        <v>2</v>
      </c>
      <c r="F516" s="11">
        <f>DAY(Tabela5[[#This Row],[Data]])</f>
        <v>16</v>
      </c>
      <c r="G5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17" spans="1:7">
      <c r="A517" s="11" t="s">
        <v>6</v>
      </c>
      <c r="B517" s="12">
        <v>44305</v>
      </c>
      <c r="C517" s="1" t="s">
        <v>24</v>
      </c>
      <c r="D517" s="1" t="s">
        <v>47</v>
      </c>
      <c r="E517" s="13">
        <v>1</v>
      </c>
      <c r="F517" s="11">
        <f>DAY(Tabela5[[#This Row],[Data]])</f>
        <v>19</v>
      </c>
      <c r="G5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18" spans="1:7">
      <c r="A518" s="11" t="s">
        <v>6</v>
      </c>
      <c r="B518" s="12">
        <v>44306</v>
      </c>
      <c r="C518" s="1" t="s">
        <v>24</v>
      </c>
      <c r="D518" s="1" t="s">
        <v>47</v>
      </c>
      <c r="E518" s="13">
        <v>1</v>
      </c>
      <c r="F518" s="11">
        <f>DAY(Tabela5[[#This Row],[Data]])</f>
        <v>20</v>
      </c>
      <c r="G5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19" spans="1:7">
      <c r="A519" s="11" t="s">
        <v>6</v>
      </c>
      <c r="B519" s="12">
        <v>44306</v>
      </c>
      <c r="C519" s="1" t="s">
        <v>24</v>
      </c>
      <c r="D519" s="1" t="s">
        <v>47</v>
      </c>
      <c r="E519" s="13">
        <v>2</v>
      </c>
      <c r="F519" s="11">
        <f>DAY(Tabela5[[#This Row],[Data]])</f>
        <v>20</v>
      </c>
      <c r="G5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20" spans="1:7">
      <c r="A520" s="11" t="s">
        <v>6</v>
      </c>
      <c r="B520" s="12">
        <v>44308</v>
      </c>
      <c r="C520" s="1" t="s">
        <v>24</v>
      </c>
      <c r="D520" s="1" t="s">
        <v>47</v>
      </c>
      <c r="E520" s="13">
        <v>1</v>
      </c>
      <c r="F520" s="11">
        <f>DAY(Tabela5[[#This Row],[Data]])</f>
        <v>22</v>
      </c>
      <c r="G5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21" spans="1:7">
      <c r="A521" s="11" t="s">
        <v>6</v>
      </c>
      <c r="B521" s="12">
        <v>44309</v>
      </c>
      <c r="C521" s="1" t="s">
        <v>24</v>
      </c>
      <c r="D521" s="1" t="s">
        <v>47</v>
      </c>
      <c r="E521" s="13">
        <v>2</v>
      </c>
      <c r="F521" s="11">
        <f>DAY(Tabela5[[#This Row],[Data]])</f>
        <v>23</v>
      </c>
      <c r="G5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22" spans="1:7">
      <c r="A522" s="11" t="s">
        <v>6</v>
      </c>
      <c r="B522" s="12">
        <v>44312</v>
      </c>
      <c r="C522" s="1" t="s">
        <v>24</v>
      </c>
      <c r="D522" s="1" t="s">
        <v>47</v>
      </c>
      <c r="E522" s="13">
        <v>2</v>
      </c>
      <c r="F522" s="11">
        <f>DAY(Tabela5[[#This Row],[Data]])</f>
        <v>26</v>
      </c>
      <c r="G5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23" spans="1:7">
      <c r="A523" s="11" t="s">
        <v>6</v>
      </c>
      <c r="B523" s="12">
        <v>44312</v>
      </c>
      <c r="C523" s="1" t="s">
        <v>24</v>
      </c>
      <c r="D523" s="1" t="s">
        <v>47</v>
      </c>
      <c r="E523" s="13">
        <v>2</v>
      </c>
      <c r="F523" s="11">
        <f>DAY(Tabela5[[#This Row],[Data]])</f>
        <v>26</v>
      </c>
      <c r="G5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24" spans="1:7">
      <c r="A524" s="11" t="s">
        <v>6</v>
      </c>
      <c r="B524" s="12">
        <v>44313</v>
      </c>
      <c r="C524" s="1" t="s">
        <v>24</v>
      </c>
      <c r="D524" s="1" t="s">
        <v>47</v>
      </c>
      <c r="E524" s="13">
        <v>2</v>
      </c>
      <c r="F524" s="11">
        <f>DAY(Tabela5[[#This Row],[Data]])</f>
        <v>27</v>
      </c>
      <c r="G5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25" spans="1:7">
      <c r="A525" s="11" t="s">
        <v>6</v>
      </c>
      <c r="B525" s="12">
        <v>44314</v>
      </c>
      <c r="C525" s="1" t="s">
        <v>24</v>
      </c>
      <c r="D525" s="1" t="s">
        <v>47</v>
      </c>
      <c r="E525" s="13">
        <v>1</v>
      </c>
      <c r="F525" s="11">
        <f>DAY(Tabela5[[#This Row],[Data]])</f>
        <v>28</v>
      </c>
      <c r="G5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26" spans="1:7">
      <c r="A526" s="11" t="s">
        <v>6</v>
      </c>
      <c r="B526" s="12">
        <v>44314</v>
      </c>
      <c r="C526" s="1" t="s">
        <v>24</v>
      </c>
      <c r="D526" s="1" t="s">
        <v>47</v>
      </c>
      <c r="E526" s="13">
        <v>1</v>
      </c>
      <c r="F526" s="11">
        <f>DAY(Tabela5[[#This Row],[Data]])</f>
        <v>28</v>
      </c>
      <c r="G5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27" spans="1:7">
      <c r="A527" s="11" t="s">
        <v>6</v>
      </c>
      <c r="B527" s="12">
        <v>44314</v>
      </c>
      <c r="C527" s="1" t="s">
        <v>24</v>
      </c>
      <c r="D527" s="1" t="s">
        <v>47</v>
      </c>
      <c r="E527" s="13">
        <v>1</v>
      </c>
      <c r="F527" s="11">
        <f>DAY(Tabela5[[#This Row],[Data]])</f>
        <v>28</v>
      </c>
      <c r="G5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28" spans="1:7">
      <c r="A528" s="11" t="s">
        <v>6</v>
      </c>
      <c r="B528" s="12">
        <v>44315</v>
      </c>
      <c r="C528" s="1" t="s">
        <v>24</v>
      </c>
      <c r="D528" s="1" t="s">
        <v>47</v>
      </c>
      <c r="E528" s="13">
        <v>1</v>
      </c>
      <c r="F528" s="11">
        <f>DAY(Tabela5[[#This Row],[Data]])</f>
        <v>29</v>
      </c>
      <c r="G5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29" spans="1:7">
      <c r="A529" s="11" t="s">
        <v>6</v>
      </c>
      <c r="B529" s="12">
        <v>44315</v>
      </c>
      <c r="C529" s="1" t="s">
        <v>24</v>
      </c>
      <c r="D529" s="1" t="s">
        <v>47</v>
      </c>
      <c r="E529" s="13">
        <v>2</v>
      </c>
      <c r="F529" s="11">
        <f>DAY(Tabela5[[#This Row],[Data]])</f>
        <v>29</v>
      </c>
      <c r="G5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30" spans="1:7">
      <c r="A530" s="11" t="s">
        <v>6</v>
      </c>
      <c r="B530" s="12">
        <v>44316</v>
      </c>
      <c r="C530" s="1" t="s">
        <v>24</v>
      </c>
      <c r="D530" s="1" t="s">
        <v>47</v>
      </c>
      <c r="E530" s="13">
        <v>2</v>
      </c>
      <c r="F530" s="11">
        <f>DAY(Tabela5[[#This Row],[Data]])</f>
        <v>30</v>
      </c>
      <c r="G5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31" spans="1:7">
      <c r="A531" s="11" t="s">
        <v>6</v>
      </c>
      <c r="B531" s="12">
        <v>44316</v>
      </c>
      <c r="C531" s="1" t="s">
        <v>24</v>
      </c>
      <c r="D531" s="1" t="s">
        <v>47</v>
      </c>
      <c r="E531" s="13">
        <v>2</v>
      </c>
      <c r="F531" s="11">
        <f>DAY(Tabela5[[#This Row],[Data]])</f>
        <v>30</v>
      </c>
      <c r="G5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32" spans="1:7">
      <c r="A532" s="11" t="s">
        <v>6</v>
      </c>
      <c r="B532" s="12">
        <v>44316</v>
      </c>
      <c r="C532" s="1" t="s">
        <v>24</v>
      </c>
      <c r="D532" s="1" t="s">
        <v>47</v>
      </c>
      <c r="E532" s="13">
        <v>1</v>
      </c>
      <c r="F532" s="11">
        <f>DAY(Tabela5[[#This Row],[Data]])</f>
        <v>30</v>
      </c>
      <c r="G5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33" spans="1:7">
      <c r="A533" s="11" t="s">
        <v>6</v>
      </c>
      <c r="B533" s="12">
        <v>44316</v>
      </c>
      <c r="C533" s="1" t="s">
        <v>24</v>
      </c>
      <c r="D533" s="1" t="s">
        <v>47</v>
      </c>
      <c r="E533" s="13">
        <v>2</v>
      </c>
      <c r="F533" s="11">
        <f>DAY(Tabela5[[#This Row],[Data]])</f>
        <v>30</v>
      </c>
      <c r="G5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34" spans="1:7">
      <c r="A534" s="11" t="s">
        <v>6</v>
      </c>
      <c r="B534" s="12">
        <v>44316</v>
      </c>
      <c r="C534" s="1" t="s">
        <v>24</v>
      </c>
      <c r="D534" s="1" t="s">
        <v>47</v>
      </c>
      <c r="E534" s="13">
        <v>1</v>
      </c>
      <c r="F534" s="11">
        <f>DAY(Tabela5[[#This Row],[Data]])</f>
        <v>30</v>
      </c>
      <c r="G5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35" spans="1:7">
      <c r="A535" s="11" t="s">
        <v>6</v>
      </c>
      <c r="B535" s="12">
        <v>44287</v>
      </c>
      <c r="C535" s="1" t="s">
        <v>33</v>
      </c>
      <c r="D535" s="1" t="s">
        <v>47</v>
      </c>
      <c r="E535" s="13">
        <v>2</v>
      </c>
      <c r="F535" s="11">
        <f>DAY(Tabela5[[#This Row],[Data]])</f>
        <v>1</v>
      </c>
      <c r="G5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36" spans="1:7">
      <c r="A536" s="11" t="s">
        <v>6</v>
      </c>
      <c r="B536" s="12">
        <v>44287</v>
      </c>
      <c r="C536" s="1" t="s">
        <v>33</v>
      </c>
      <c r="D536" s="1" t="s">
        <v>47</v>
      </c>
      <c r="E536" s="13">
        <v>1</v>
      </c>
      <c r="F536" s="11">
        <f>DAY(Tabela5[[#This Row],[Data]])</f>
        <v>1</v>
      </c>
      <c r="G5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37" spans="1:7">
      <c r="A537" s="11" t="s">
        <v>6</v>
      </c>
      <c r="B537" s="12">
        <v>44288</v>
      </c>
      <c r="C537" s="1" t="s">
        <v>33</v>
      </c>
      <c r="D537" s="1" t="s">
        <v>47</v>
      </c>
      <c r="E537" s="13">
        <v>1</v>
      </c>
      <c r="F537" s="11">
        <f>DAY(Tabela5[[#This Row],[Data]])</f>
        <v>2</v>
      </c>
      <c r="G5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38" spans="1:7">
      <c r="A538" s="11" t="s">
        <v>6</v>
      </c>
      <c r="B538" s="12">
        <v>44291</v>
      </c>
      <c r="C538" s="1" t="s">
        <v>33</v>
      </c>
      <c r="D538" s="1" t="s">
        <v>47</v>
      </c>
      <c r="E538" s="13">
        <v>2</v>
      </c>
      <c r="F538" s="11">
        <f>DAY(Tabela5[[#This Row],[Data]])</f>
        <v>5</v>
      </c>
      <c r="G5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39" spans="1:7">
      <c r="A539" s="11" t="s">
        <v>6</v>
      </c>
      <c r="B539" s="12">
        <v>44291</v>
      </c>
      <c r="C539" s="1" t="s">
        <v>33</v>
      </c>
      <c r="D539" s="1" t="s">
        <v>47</v>
      </c>
      <c r="E539" s="13">
        <v>1</v>
      </c>
      <c r="F539" s="11">
        <f>DAY(Tabela5[[#This Row],[Data]])</f>
        <v>5</v>
      </c>
      <c r="G5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40" spans="1:7">
      <c r="A540" s="11" t="s">
        <v>6</v>
      </c>
      <c r="B540" s="12">
        <v>44291</v>
      </c>
      <c r="C540" s="1" t="s">
        <v>33</v>
      </c>
      <c r="D540" s="1" t="s">
        <v>47</v>
      </c>
      <c r="E540" s="13">
        <v>2</v>
      </c>
      <c r="F540" s="11">
        <f>DAY(Tabela5[[#This Row],[Data]])</f>
        <v>5</v>
      </c>
      <c r="G5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41" spans="1:7">
      <c r="A541" s="11" t="s">
        <v>6</v>
      </c>
      <c r="B541" s="12">
        <v>44292</v>
      </c>
      <c r="C541" s="1" t="s">
        <v>33</v>
      </c>
      <c r="D541" s="1" t="s">
        <v>47</v>
      </c>
      <c r="E541" s="13">
        <v>1</v>
      </c>
      <c r="F541" s="11">
        <f>DAY(Tabela5[[#This Row],[Data]])</f>
        <v>6</v>
      </c>
      <c r="G5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42" spans="1:7">
      <c r="A542" s="11" t="s">
        <v>6</v>
      </c>
      <c r="B542" s="12">
        <v>44292</v>
      </c>
      <c r="C542" s="1" t="s">
        <v>33</v>
      </c>
      <c r="D542" s="1" t="s">
        <v>47</v>
      </c>
      <c r="E542" s="13">
        <v>2</v>
      </c>
      <c r="F542" s="11">
        <f>DAY(Tabela5[[#This Row],[Data]])</f>
        <v>6</v>
      </c>
      <c r="G5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43" spans="1:7">
      <c r="A543" s="11" t="s">
        <v>6</v>
      </c>
      <c r="B543" s="12">
        <v>44292</v>
      </c>
      <c r="C543" s="1" t="s">
        <v>33</v>
      </c>
      <c r="D543" s="1" t="s">
        <v>47</v>
      </c>
      <c r="E543" s="13">
        <v>2</v>
      </c>
      <c r="F543" s="11">
        <f>DAY(Tabela5[[#This Row],[Data]])</f>
        <v>6</v>
      </c>
      <c r="G5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44" spans="1:7">
      <c r="A544" s="11" t="s">
        <v>6</v>
      </c>
      <c r="B544" s="12">
        <v>44293</v>
      </c>
      <c r="C544" s="1" t="s">
        <v>33</v>
      </c>
      <c r="D544" s="1" t="s">
        <v>47</v>
      </c>
      <c r="E544" s="13">
        <v>1</v>
      </c>
      <c r="F544" s="11">
        <f>DAY(Tabela5[[#This Row],[Data]])</f>
        <v>7</v>
      </c>
      <c r="G5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45" spans="1:7">
      <c r="A545" s="11" t="s">
        <v>6</v>
      </c>
      <c r="B545" s="12">
        <v>44293</v>
      </c>
      <c r="C545" s="1" t="s">
        <v>33</v>
      </c>
      <c r="D545" s="1" t="s">
        <v>47</v>
      </c>
      <c r="E545" s="13">
        <v>2</v>
      </c>
      <c r="F545" s="11">
        <f>DAY(Tabela5[[#This Row],[Data]])</f>
        <v>7</v>
      </c>
      <c r="G5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46" spans="1:7">
      <c r="A546" s="11" t="s">
        <v>6</v>
      </c>
      <c r="B546" s="12">
        <v>44293</v>
      </c>
      <c r="C546" s="1" t="s">
        <v>33</v>
      </c>
      <c r="D546" s="1" t="s">
        <v>47</v>
      </c>
      <c r="E546" s="13">
        <v>1</v>
      </c>
      <c r="F546" s="11">
        <f>DAY(Tabela5[[#This Row],[Data]])</f>
        <v>7</v>
      </c>
      <c r="G5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47" spans="1:7">
      <c r="A547" s="11" t="s">
        <v>6</v>
      </c>
      <c r="B547" s="12">
        <v>44294</v>
      </c>
      <c r="C547" s="1" t="s">
        <v>33</v>
      </c>
      <c r="D547" s="1" t="s">
        <v>47</v>
      </c>
      <c r="E547" s="13">
        <v>1</v>
      </c>
      <c r="F547" s="11">
        <f>DAY(Tabela5[[#This Row],[Data]])</f>
        <v>8</v>
      </c>
      <c r="G5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48" spans="1:7">
      <c r="A548" s="11" t="s">
        <v>6</v>
      </c>
      <c r="B548" s="12">
        <v>44295</v>
      </c>
      <c r="C548" s="1" t="s">
        <v>33</v>
      </c>
      <c r="D548" s="1" t="s">
        <v>47</v>
      </c>
      <c r="E548" s="13">
        <v>2</v>
      </c>
      <c r="F548" s="11">
        <f>DAY(Tabela5[[#This Row],[Data]])</f>
        <v>9</v>
      </c>
      <c r="G5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49" spans="1:7">
      <c r="A549" s="11" t="s">
        <v>6</v>
      </c>
      <c r="B549" s="12">
        <v>44295</v>
      </c>
      <c r="C549" s="1" t="s">
        <v>33</v>
      </c>
      <c r="D549" s="1" t="s">
        <v>47</v>
      </c>
      <c r="E549" s="13">
        <v>2</v>
      </c>
      <c r="F549" s="11">
        <f>DAY(Tabela5[[#This Row],[Data]])</f>
        <v>9</v>
      </c>
      <c r="G5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50" spans="1:7">
      <c r="A550" s="11" t="s">
        <v>6</v>
      </c>
      <c r="B550" s="12">
        <v>44295</v>
      </c>
      <c r="C550" s="1" t="s">
        <v>33</v>
      </c>
      <c r="D550" s="1" t="s">
        <v>47</v>
      </c>
      <c r="E550" s="13">
        <v>2</v>
      </c>
      <c r="F550" s="11">
        <f>DAY(Tabela5[[#This Row],[Data]])</f>
        <v>9</v>
      </c>
      <c r="G5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51" spans="1:7">
      <c r="A551" s="11" t="s">
        <v>6</v>
      </c>
      <c r="B551" s="12">
        <v>44298</v>
      </c>
      <c r="C551" s="1" t="s">
        <v>33</v>
      </c>
      <c r="D551" s="1" t="s">
        <v>47</v>
      </c>
      <c r="E551" s="13">
        <v>1</v>
      </c>
      <c r="F551" s="11">
        <f>DAY(Tabela5[[#This Row],[Data]])</f>
        <v>12</v>
      </c>
      <c r="G5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52" spans="1:7">
      <c r="A552" s="11" t="s">
        <v>6</v>
      </c>
      <c r="B552" s="12">
        <v>44299</v>
      </c>
      <c r="C552" s="1" t="s">
        <v>33</v>
      </c>
      <c r="D552" s="1" t="s">
        <v>47</v>
      </c>
      <c r="E552" s="13">
        <v>1</v>
      </c>
      <c r="F552" s="11">
        <f>DAY(Tabela5[[#This Row],[Data]])</f>
        <v>13</v>
      </c>
      <c r="G5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53" spans="1:7">
      <c r="A553" s="11" t="s">
        <v>6</v>
      </c>
      <c r="B553" s="12">
        <v>44299</v>
      </c>
      <c r="C553" s="1" t="s">
        <v>33</v>
      </c>
      <c r="D553" s="1" t="s">
        <v>47</v>
      </c>
      <c r="E553" s="13">
        <v>1</v>
      </c>
      <c r="F553" s="11">
        <f>DAY(Tabela5[[#This Row],[Data]])</f>
        <v>13</v>
      </c>
      <c r="G5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54" spans="1:7">
      <c r="A554" s="11" t="s">
        <v>6</v>
      </c>
      <c r="B554" s="12">
        <v>44299</v>
      </c>
      <c r="C554" s="1" t="s">
        <v>33</v>
      </c>
      <c r="D554" s="1" t="s">
        <v>47</v>
      </c>
      <c r="E554" s="13">
        <v>1</v>
      </c>
      <c r="F554" s="11">
        <f>DAY(Tabela5[[#This Row],[Data]])</f>
        <v>13</v>
      </c>
      <c r="G5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55" spans="1:7">
      <c r="A555" s="11" t="s">
        <v>6</v>
      </c>
      <c r="B555" s="12">
        <v>44300</v>
      </c>
      <c r="C555" s="1" t="s">
        <v>33</v>
      </c>
      <c r="D555" s="1" t="s">
        <v>47</v>
      </c>
      <c r="E555" s="13">
        <v>1</v>
      </c>
      <c r="F555" s="11">
        <f>DAY(Tabela5[[#This Row],[Data]])</f>
        <v>14</v>
      </c>
      <c r="G5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56" spans="1:7">
      <c r="A556" s="11" t="s">
        <v>6</v>
      </c>
      <c r="B556" s="12">
        <v>44301</v>
      </c>
      <c r="C556" s="1" t="s">
        <v>33</v>
      </c>
      <c r="D556" s="1" t="s">
        <v>47</v>
      </c>
      <c r="E556" s="13">
        <v>2</v>
      </c>
      <c r="F556" s="11">
        <f>DAY(Tabela5[[#This Row],[Data]])</f>
        <v>15</v>
      </c>
      <c r="G5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57" spans="1:7">
      <c r="A557" s="11" t="s">
        <v>6</v>
      </c>
      <c r="B557" s="12">
        <v>44302</v>
      </c>
      <c r="C557" s="1" t="s">
        <v>33</v>
      </c>
      <c r="D557" s="1" t="s">
        <v>47</v>
      </c>
      <c r="E557" s="13">
        <v>1</v>
      </c>
      <c r="F557" s="11">
        <f>DAY(Tabela5[[#This Row],[Data]])</f>
        <v>16</v>
      </c>
      <c r="G5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58" spans="1:7">
      <c r="A558" s="11" t="s">
        <v>6</v>
      </c>
      <c r="B558" s="12">
        <v>44302</v>
      </c>
      <c r="C558" s="1" t="s">
        <v>33</v>
      </c>
      <c r="D558" s="1" t="s">
        <v>47</v>
      </c>
      <c r="E558" s="13">
        <v>2</v>
      </c>
      <c r="F558" s="11">
        <f>DAY(Tabela5[[#This Row],[Data]])</f>
        <v>16</v>
      </c>
      <c r="G5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59" spans="1:7">
      <c r="A559" s="11" t="s">
        <v>6</v>
      </c>
      <c r="B559" s="12">
        <v>44302</v>
      </c>
      <c r="C559" s="1" t="s">
        <v>33</v>
      </c>
      <c r="D559" s="1" t="s">
        <v>47</v>
      </c>
      <c r="E559" s="13">
        <v>2</v>
      </c>
      <c r="F559" s="11">
        <f>DAY(Tabela5[[#This Row],[Data]])</f>
        <v>16</v>
      </c>
      <c r="G5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60" spans="1:7">
      <c r="A560" s="11" t="s">
        <v>6</v>
      </c>
      <c r="B560" s="12">
        <v>44305</v>
      </c>
      <c r="C560" s="1" t="s">
        <v>33</v>
      </c>
      <c r="D560" s="1" t="s">
        <v>47</v>
      </c>
      <c r="E560" s="13">
        <v>1</v>
      </c>
      <c r="F560" s="11">
        <f>DAY(Tabela5[[#This Row],[Data]])</f>
        <v>19</v>
      </c>
      <c r="G5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61" spans="1:7">
      <c r="A561" s="11" t="s">
        <v>6</v>
      </c>
      <c r="B561" s="12">
        <v>44305</v>
      </c>
      <c r="C561" s="1" t="s">
        <v>33</v>
      </c>
      <c r="D561" s="1" t="s">
        <v>47</v>
      </c>
      <c r="E561" s="13">
        <v>1</v>
      </c>
      <c r="F561" s="11">
        <f>DAY(Tabela5[[#This Row],[Data]])</f>
        <v>19</v>
      </c>
      <c r="G5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62" spans="1:7">
      <c r="A562" s="11" t="s">
        <v>6</v>
      </c>
      <c r="B562" s="12">
        <v>44306</v>
      </c>
      <c r="C562" s="1" t="s">
        <v>33</v>
      </c>
      <c r="D562" s="1" t="s">
        <v>47</v>
      </c>
      <c r="E562" s="13">
        <v>2</v>
      </c>
      <c r="F562" s="11">
        <f>DAY(Tabela5[[#This Row],[Data]])</f>
        <v>20</v>
      </c>
      <c r="G5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63" spans="1:7">
      <c r="A563" s="11" t="s">
        <v>6</v>
      </c>
      <c r="B563" s="12">
        <v>44306</v>
      </c>
      <c r="C563" s="1" t="s">
        <v>33</v>
      </c>
      <c r="D563" s="1" t="s">
        <v>47</v>
      </c>
      <c r="E563" s="13">
        <v>2</v>
      </c>
      <c r="F563" s="11">
        <f>DAY(Tabela5[[#This Row],[Data]])</f>
        <v>20</v>
      </c>
      <c r="G5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64" spans="1:7">
      <c r="A564" s="11" t="s">
        <v>6</v>
      </c>
      <c r="B564" s="12">
        <v>44307</v>
      </c>
      <c r="C564" s="1" t="s">
        <v>33</v>
      </c>
      <c r="D564" s="1" t="s">
        <v>47</v>
      </c>
      <c r="E564" s="13">
        <v>2</v>
      </c>
      <c r="F564" s="11">
        <f>DAY(Tabela5[[#This Row],[Data]])</f>
        <v>21</v>
      </c>
      <c r="G5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65" spans="1:7">
      <c r="A565" s="11" t="s">
        <v>6</v>
      </c>
      <c r="B565" s="12">
        <v>44308</v>
      </c>
      <c r="C565" s="1" t="s">
        <v>33</v>
      </c>
      <c r="D565" s="1" t="s">
        <v>47</v>
      </c>
      <c r="E565" s="13">
        <v>2</v>
      </c>
      <c r="F565" s="11">
        <f>DAY(Tabela5[[#This Row],[Data]])</f>
        <v>22</v>
      </c>
      <c r="G5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66" spans="1:7">
      <c r="A566" s="11" t="s">
        <v>6</v>
      </c>
      <c r="B566" s="12">
        <v>44309</v>
      </c>
      <c r="C566" s="1" t="s">
        <v>33</v>
      </c>
      <c r="D566" s="1" t="s">
        <v>47</v>
      </c>
      <c r="E566" s="13">
        <v>2</v>
      </c>
      <c r="F566" s="11">
        <f>DAY(Tabela5[[#This Row],[Data]])</f>
        <v>23</v>
      </c>
      <c r="G5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67" spans="1:7">
      <c r="A567" s="11" t="s">
        <v>6</v>
      </c>
      <c r="B567" s="12">
        <v>44312</v>
      </c>
      <c r="C567" s="1" t="s">
        <v>33</v>
      </c>
      <c r="D567" s="1" t="s">
        <v>47</v>
      </c>
      <c r="E567" s="13">
        <v>1</v>
      </c>
      <c r="F567" s="11">
        <f>DAY(Tabela5[[#This Row],[Data]])</f>
        <v>26</v>
      </c>
      <c r="G5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68" spans="1:7">
      <c r="A568" s="11" t="s">
        <v>6</v>
      </c>
      <c r="B568" s="12">
        <v>44313</v>
      </c>
      <c r="C568" s="1" t="s">
        <v>33</v>
      </c>
      <c r="D568" s="1" t="s">
        <v>47</v>
      </c>
      <c r="E568" s="13">
        <v>2</v>
      </c>
      <c r="F568" s="11">
        <f>DAY(Tabela5[[#This Row],[Data]])</f>
        <v>27</v>
      </c>
      <c r="G5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69" spans="1:7">
      <c r="A569" s="11" t="s">
        <v>6</v>
      </c>
      <c r="B569" s="12">
        <v>44313</v>
      </c>
      <c r="C569" s="1" t="s">
        <v>33</v>
      </c>
      <c r="D569" s="1" t="s">
        <v>47</v>
      </c>
      <c r="E569" s="13">
        <v>2</v>
      </c>
      <c r="F569" s="11">
        <f>DAY(Tabela5[[#This Row],[Data]])</f>
        <v>27</v>
      </c>
      <c r="G5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70" spans="1:7">
      <c r="A570" s="11" t="s">
        <v>6</v>
      </c>
      <c r="B570" s="12">
        <v>44313</v>
      </c>
      <c r="C570" s="1" t="s">
        <v>33</v>
      </c>
      <c r="D570" s="1" t="s">
        <v>47</v>
      </c>
      <c r="E570" s="13">
        <v>2</v>
      </c>
      <c r="F570" s="11">
        <f>DAY(Tabela5[[#This Row],[Data]])</f>
        <v>27</v>
      </c>
      <c r="G5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71" spans="1:7">
      <c r="A571" s="11" t="s">
        <v>6</v>
      </c>
      <c r="B571" s="12">
        <v>44314</v>
      </c>
      <c r="C571" s="1" t="s">
        <v>33</v>
      </c>
      <c r="D571" s="1" t="s">
        <v>47</v>
      </c>
      <c r="E571" s="13">
        <v>1</v>
      </c>
      <c r="F571" s="11">
        <f>DAY(Tabela5[[#This Row],[Data]])</f>
        <v>28</v>
      </c>
      <c r="G5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72" spans="1:7">
      <c r="A572" s="11" t="s">
        <v>6</v>
      </c>
      <c r="B572" s="12">
        <v>44315</v>
      </c>
      <c r="C572" s="1" t="s">
        <v>33</v>
      </c>
      <c r="D572" s="1" t="s">
        <v>47</v>
      </c>
      <c r="E572" s="13">
        <v>2</v>
      </c>
      <c r="F572" s="11">
        <f>DAY(Tabela5[[#This Row],[Data]])</f>
        <v>29</v>
      </c>
      <c r="G5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73" spans="1:7">
      <c r="A573" s="11" t="s">
        <v>6</v>
      </c>
      <c r="B573" s="12">
        <v>44316</v>
      </c>
      <c r="C573" s="1" t="s">
        <v>33</v>
      </c>
      <c r="D573" s="1" t="s">
        <v>47</v>
      </c>
      <c r="E573" s="13">
        <v>2</v>
      </c>
      <c r="F573" s="11">
        <f>DAY(Tabela5[[#This Row],[Data]])</f>
        <v>30</v>
      </c>
      <c r="G5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74" spans="1:7">
      <c r="A574" s="11" t="s">
        <v>6</v>
      </c>
      <c r="B574" s="12">
        <v>44316</v>
      </c>
      <c r="C574" s="1" t="s">
        <v>33</v>
      </c>
      <c r="D574" s="1" t="s">
        <v>47</v>
      </c>
      <c r="E574" s="13">
        <v>1</v>
      </c>
      <c r="F574" s="11">
        <f>DAY(Tabela5[[#This Row],[Data]])</f>
        <v>30</v>
      </c>
      <c r="G5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75" spans="1:7">
      <c r="A575" s="11" t="s">
        <v>6</v>
      </c>
      <c r="B575" s="12">
        <v>44287</v>
      </c>
      <c r="C575" s="1" t="s">
        <v>25</v>
      </c>
      <c r="D575" s="1" t="s">
        <v>47</v>
      </c>
      <c r="E575" s="13">
        <v>1</v>
      </c>
      <c r="F575" s="11">
        <f>DAY(Tabela5[[#This Row],[Data]])</f>
        <v>1</v>
      </c>
      <c r="G5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76" spans="1:7">
      <c r="A576" s="11" t="s">
        <v>6</v>
      </c>
      <c r="B576" s="12">
        <v>44291</v>
      </c>
      <c r="C576" s="1" t="s">
        <v>25</v>
      </c>
      <c r="D576" s="1" t="s">
        <v>47</v>
      </c>
      <c r="E576" s="13">
        <v>1</v>
      </c>
      <c r="F576" s="11">
        <f>DAY(Tabela5[[#This Row],[Data]])</f>
        <v>5</v>
      </c>
      <c r="G5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77" spans="1:7">
      <c r="A577" s="11" t="s">
        <v>6</v>
      </c>
      <c r="B577" s="12">
        <v>44292</v>
      </c>
      <c r="C577" s="1" t="s">
        <v>25</v>
      </c>
      <c r="D577" s="1" t="s">
        <v>47</v>
      </c>
      <c r="E577" s="13">
        <v>1</v>
      </c>
      <c r="F577" s="11">
        <f>DAY(Tabela5[[#This Row],[Data]])</f>
        <v>6</v>
      </c>
      <c r="G5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78" spans="1:7">
      <c r="A578" s="11" t="s">
        <v>6</v>
      </c>
      <c r="B578" s="12">
        <v>44293</v>
      </c>
      <c r="C578" s="1" t="s">
        <v>25</v>
      </c>
      <c r="D578" s="1" t="s">
        <v>47</v>
      </c>
      <c r="E578" s="13">
        <v>1</v>
      </c>
      <c r="F578" s="11">
        <f>DAY(Tabela5[[#This Row],[Data]])</f>
        <v>7</v>
      </c>
      <c r="G5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79" spans="1:7">
      <c r="A579" s="11" t="s">
        <v>6</v>
      </c>
      <c r="B579" s="12">
        <v>44294</v>
      </c>
      <c r="C579" s="1" t="s">
        <v>25</v>
      </c>
      <c r="D579" s="1" t="s">
        <v>47</v>
      </c>
      <c r="E579" s="13">
        <v>1</v>
      </c>
      <c r="F579" s="11">
        <f>DAY(Tabela5[[#This Row],[Data]])</f>
        <v>8</v>
      </c>
      <c r="G5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80" spans="1:7">
      <c r="A580" s="11" t="s">
        <v>6</v>
      </c>
      <c r="B580" s="12">
        <v>44295</v>
      </c>
      <c r="C580" s="1" t="s">
        <v>25</v>
      </c>
      <c r="D580" s="1" t="s">
        <v>47</v>
      </c>
      <c r="E580" s="13">
        <v>1</v>
      </c>
      <c r="F580" s="11">
        <f>DAY(Tabela5[[#This Row],[Data]])</f>
        <v>9</v>
      </c>
      <c r="G5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81" spans="1:7">
      <c r="A581" s="11" t="s">
        <v>6</v>
      </c>
      <c r="B581" s="12">
        <v>44298</v>
      </c>
      <c r="C581" s="1" t="s">
        <v>25</v>
      </c>
      <c r="D581" s="1" t="s">
        <v>47</v>
      </c>
      <c r="E581" s="13">
        <v>2</v>
      </c>
      <c r="F581" s="11">
        <f>DAY(Tabela5[[#This Row],[Data]])</f>
        <v>12</v>
      </c>
      <c r="G5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82" spans="1:7">
      <c r="A582" s="11" t="s">
        <v>6</v>
      </c>
      <c r="B582" s="12">
        <v>44299</v>
      </c>
      <c r="C582" s="1" t="s">
        <v>25</v>
      </c>
      <c r="D582" s="1" t="s">
        <v>47</v>
      </c>
      <c r="E582" s="13">
        <v>1</v>
      </c>
      <c r="F582" s="11">
        <f>DAY(Tabela5[[#This Row],[Data]])</f>
        <v>13</v>
      </c>
      <c r="G5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83" spans="1:7">
      <c r="A583" s="11" t="s">
        <v>6</v>
      </c>
      <c r="B583" s="12">
        <v>44300</v>
      </c>
      <c r="C583" s="1" t="s">
        <v>25</v>
      </c>
      <c r="D583" s="1" t="s">
        <v>47</v>
      </c>
      <c r="E583" s="13">
        <v>2</v>
      </c>
      <c r="F583" s="11">
        <f>DAY(Tabela5[[#This Row],[Data]])</f>
        <v>14</v>
      </c>
      <c r="G5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84" spans="1:7">
      <c r="A584" s="11" t="s">
        <v>6</v>
      </c>
      <c r="B584" s="12">
        <v>44301</v>
      </c>
      <c r="C584" s="1" t="s">
        <v>25</v>
      </c>
      <c r="D584" s="1" t="s">
        <v>47</v>
      </c>
      <c r="E584" s="13">
        <v>2</v>
      </c>
      <c r="F584" s="11">
        <f>DAY(Tabela5[[#This Row],[Data]])</f>
        <v>15</v>
      </c>
      <c r="G5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85" spans="1:7">
      <c r="A585" s="11" t="s">
        <v>6</v>
      </c>
      <c r="B585" s="12">
        <v>44302</v>
      </c>
      <c r="C585" s="1" t="s">
        <v>25</v>
      </c>
      <c r="D585" s="1" t="s">
        <v>47</v>
      </c>
      <c r="E585" s="13">
        <v>2</v>
      </c>
      <c r="F585" s="11">
        <f>DAY(Tabela5[[#This Row],[Data]])</f>
        <v>16</v>
      </c>
      <c r="G5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86" spans="1:7">
      <c r="A586" s="11" t="s">
        <v>6</v>
      </c>
      <c r="B586" s="12">
        <v>44302</v>
      </c>
      <c r="C586" s="1" t="s">
        <v>25</v>
      </c>
      <c r="D586" s="1" t="s">
        <v>47</v>
      </c>
      <c r="E586" s="13">
        <v>1</v>
      </c>
      <c r="F586" s="11">
        <f>DAY(Tabela5[[#This Row],[Data]])</f>
        <v>16</v>
      </c>
      <c r="G5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87" spans="1:7">
      <c r="A587" s="11" t="s">
        <v>6</v>
      </c>
      <c r="B587" s="12">
        <v>44305</v>
      </c>
      <c r="C587" s="1" t="s">
        <v>25</v>
      </c>
      <c r="D587" s="1" t="s">
        <v>47</v>
      </c>
      <c r="E587" s="13">
        <v>1</v>
      </c>
      <c r="F587" s="11">
        <f>DAY(Tabela5[[#This Row],[Data]])</f>
        <v>19</v>
      </c>
      <c r="G5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88" spans="1:7">
      <c r="A588" s="11" t="s">
        <v>6</v>
      </c>
      <c r="B588" s="12">
        <v>44306</v>
      </c>
      <c r="C588" s="1" t="s">
        <v>25</v>
      </c>
      <c r="D588" s="1" t="s">
        <v>47</v>
      </c>
      <c r="E588" s="13">
        <v>1</v>
      </c>
      <c r="F588" s="11">
        <f>DAY(Tabela5[[#This Row],[Data]])</f>
        <v>20</v>
      </c>
      <c r="G5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89" spans="1:7">
      <c r="A589" s="11" t="s">
        <v>6</v>
      </c>
      <c r="B589" s="12">
        <v>44308</v>
      </c>
      <c r="C589" s="1" t="s">
        <v>25</v>
      </c>
      <c r="D589" s="1" t="s">
        <v>47</v>
      </c>
      <c r="E589" s="13">
        <v>1</v>
      </c>
      <c r="F589" s="11">
        <f>DAY(Tabela5[[#This Row],[Data]])</f>
        <v>22</v>
      </c>
      <c r="G5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90" spans="1:7">
      <c r="A590" s="11" t="s">
        <v>6</v>
      </c>
      <c r="B590" s="12">
        <v>44309</v>
      </c>
      <c r="C590" s="1" t="s">
        <v>25</v>
      </c>
      <c r="D590" s="1" t="s">
        <v>47</v>
      </c>
      <c r="E590" s="13">
        <v>1</v>
      </c>
      <c r="F590" s="11">
        <f>DAY(Tabela5[[#This Row],[Data]])</f>
        <v>23</v>
      </c>
      <c r="G5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91" spans="1:7">
      <c r="A591" s="11" t="s">
        <v>6</v>
      </c>
      <c r="B591" s="12">
        <v>44309</v>
      </c>
      <c r="C591" s="1" t="s">
        <v>25</v>
      </c>
      <c r="D591" s="1" t="s">
        <v>47</v>
      </c>
      <c r="E591" s="13">
        <v>1</v>
      </c>
      <c r="F591" s="11">
        <f>DAY(Tabela5[[#This Row],[Data]])</f>
        <v>23</v>
      </c>
      <c r="G5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92" spans="1:7">
      <c r="A592" s="11" t="s">
        <v>6</v>
      </c>
      <c r="B592" s="12">
        <v>44312</v>
      </c>
      <c r="C592" s="1" t="s">
        <v>25</v>
      </c>
      <c r="D592" s="1" t="s">
        <v>47</v>
      </c>
      <c r="E592" s="13">
        <v>2</v>
      </c>
      <c r="F592" s="11">
        <f>DAY(Tabela5[[#This Row],[Data]])</f>
        <v>26</v>
      </c>
      <c r="G5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593" spans="1:7">
      <c r="A593" s="11" t="s">
        <v>6</v>
      </c>
      <c r="B593" s="12">
        <v>44313</v>
      </c>
      <c r="C593" s="1" t="s">
        <v>25</v>
      </c>
      <c r="D593" s="1" t="s">
        <v>47</v>
      </c>
      <c r="E593" s="13">
        <v>2</v>
      </c>
      <c r="F593" s="11">
        <f>DAY(Tabela5[[#This Row],[Data]])</f>
        <v>27</v>
      </c>
      <c r="G5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594" spans="1:7">
      <c r="A594" s="11" t="s">
        <v>6</v>
      </c>
      <c r="B594" s="12">
        <v>44314</v>
      </c>
      <c r="C594" s="1" t="s">
        <v>25</v>
      </c>
      <c r="D594" s="1" t="s">
        <v>47</v>
      </c>
      <c r="E594" s="13">
        <v>2</v>
      </c>
      <c r="F594" s="11">
        <f>DAY(Tabela5[[#This Row],[Data]])</f>
        <v>28</v>
      </c>
      <c r="G5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595" spans="1:7">
      <c r="A595" s="11" t="s">
        <v>6</v>
      </c>
      <c r="B595" s="12">
        <v>44315</v>
      </c>
      <c r="C595" s="1" t="s">
        <v>25</v>
      </c>
      <c r="D595" s="1" t="s">
        <v>47</v>
      </c>
      <c r="E595" s="13">
        <v>2</v>
      </c>
      <c r="F595" s="11">
        <f>DAY(Tabela5[[#This Row],[Data]])</f>
        <v>29</v>
      </c>
      <c r="G5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596" spans="1:7">
      <c r="A596" s="11" t="s">
        <v>6</v>
      </c>
      <c r="B596" s="12">
        <v>44316</v>
      </c>
      <c r="C596" s="1" t="s">
        <v>25</v>
      </c>
      <c r="D596" s="1" t="s">
        <v>47</v>
      </c>
      <c r="E596" s="13">
        <v>1</v>
      </c>
      <c r="F596" s="11">
        <f>DAY(Tabela5[[#This Row],[Data]])</f>
        <v>30</v>
      </c>
      <c r="G5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97" spans="1:7">
      <c r="A597" s="11" t="s">
        <v>6</v>
      </c>
      <c r="B597" s="12">
        <v>44316</v>
      </c>
      <c r="C597" s="1" t="s">
        <v>25</v>
      </c>
      <c r="D597" s="1" t="s">
        <v>47</v>
      </c>
      <c r="E597" s="13">
        <v>1</v>
      </c>
      <c r="F597" s="11">
        <f>DAY(Tabela5[[#This Row],[Data]])</f>
        <v>30</v>
      </c>
      <c r="G5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98" spans="1:7">
      <c r="A598" s="11" t="s">
        <v>6</v>
      </c>
      <c r="B598" s="12">
        <v>44316</v>
      </c>
      <c r="C598" s="1" t="s">
        <v>25</v>
      </c>
      <c r="D598" s="1" t="s">
        <v>47</v>
      </c>
      <c r="E598" s="13">
        <v>2</v>
      </c>
      <c r="F598" s="11">
        <f>DAY(Tabela5[[#This Row],[Data]])</f>
        <v>30</v>
      </c>
      <c r="G5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599" spans="1:7">
      <c r="A599" s="11" t="s">
        <v>6</v>
      </c>
      <c r="B599" s="12">
        <v>44316</v>
      </c>
      <c r="C599" s="1" t="s">
        <v>25</v>
      </c>
      <c r="D599" s="1" t="s">
        <v>47</v>
      </c>
      <c r="E599" s="13">
        <v>1</v>
      </c>
      <c r="F599" s="11">
        <f>DAY(Tabela5[[#This Row],[Data]])</f>
        <v>30</v>
      </c>
      <c r="G5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00" spans="1:7">
      <c r="A600" s="11" t="s">
        <v>6</v>
      </c>
      <c r="B600" s="12">
        <v>44291</v>
      </c>
      <c r="C600" s="1" t="s">
        <v>26</v>
      </c>
      <c r="D600" s="1" t="s">
        <v>47</v>
      </c>
      <c r="E600" s="13">
        <v>2</v>
      </c>
      <c r="F600" s="11">
        <f>DAY(Tabela5[[#This Row],[Data]])</f>
        <v>5</v>
      </c>
      <c r="G6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01" spans="1:7">
      <c r="A601" s="11" t="s">
        <v>6</v>
      </c>
      <c r="B601" s="12">
        <v>44292</v>
      </c>
      <c r="C601" s="1" t="s">
        <v>26</v>
      </c>
      <c r="D601" s="1" t="s">
        <v>47</v>
      </c>
      <c r="E601" s="13">
        <v>1</v>
      </c>
      <c r="F601" s="11">
        <f>DAY(Tabela5[[#This Row],[Data]])</f>
        <v>6</v>
      </c>
      <c r="G6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02" spans="1:7">
      <c r="A602" s="11" t="s">
        <v>6</v>
      </c>
      <c r="B602" s="12">
        <v>44293</v>
      </c>
      <c r="C602" s="1" t="s">
        <v>26</v>
      </c>
      <c r="D602" s="1" t="s">
        <v>47</v>
      </c>
      <c r="E602" s="13">
        <v>1</v>
      </c>
      <c r="F602" s="11">
        <f>DAY(Tabela5[[#This Row],[Data]])</f>
        <v>7</v>
      </c>
      <c r="G6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03" spans="1:7">
      <c r="A603" s="11" t="s">
        <v>6</v>
      </c>
      <c r="B603" s="12">
        <v>44294</v>
      </c>
      <c r="C603" s="1" t="s">
        <v>26</v>
      </c>
      <c r="D603" s="1" t="s">
        <v>47</v>
      </c>
      <c r="E603" s="13">
        <v>2</v>
      </c>
      <c r="F603" s="11">
        <f>DAY(Tabela5[[#This Row],[Data]])</f>
        <v>8</v>
      </c>
      <c r="G6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04" spans="1:7">
      <c r="A604" s="11" t="s">
        <v>6</v>
      </c>
      <c r="B604" s="12">
        <v>44295</v>
      </c>
      <c r="C604" s="1" t="s">
        <v>26</v>
      </c>
      <c r="D604" s="1" t="s">
        <v>47</v>
      </c>
      <c r="E604" s="13">
        <v>2</v>
      </c>
      <c r="F604" s="11">
        <f>DAY(Tabela5[[#This Row],[Data]])</f>
        <v>9</v>
      </c>
      <c r="G6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05" spans="1:7">
      <c r="A605" s="11" t="s">
        <v>6</v>
      </c>
      <c r="B605" s="12">
        <v>44298</v>
      </c>
      <c r="C605" s="1" t="s">
        <v>26</v>
      </c>
      <c r="D605" s="1" t="s">
        <v>47</v>
      </c>
      <c r="E605" s="13">
        <v>2</v>
      </c>
      <c r="F605" s="11">
        <f>DAY(Tabela5[[#This Row],[Data]])</f>
        <v>12</v>
      </c>
      <c r="G6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06" spans="1:7">
      <c r="A606" s="11" t="s">
        <v>6</v>
      </c>
      <c r="B606" s="12">
        <v>44299</v>
      </c>
      <c r="C606" s="1" t="s">
        <v>26</v>
      </c>
      <c r="D606" s="1" t="s">
        <v>47</v>
      </c>
      <c r="E606" s="13">
        <v>2</v>
      </c>
      <c r="F606" s="11">
        <f>DAY(Tabela5[[#This Row],[Data]])</f>
        <v>13</v>
      </c>
      <c r="G6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07" spans="1:7">
      <c r="A607" s="11" t="s">
        <v>6</v>
      </c>
      <c r="B607" s="12">
        <v>44300</v>
      </c>
      <c r="C607" s="1" t="s">
        <v>26</v>
      </c>
      <c r="D607" s="1" t="s">
        <v>47</v>
      </c>
      <c r="E607" s="13">
        <v>1</v>
      </c>
      <c r="F607" s="11">
        <f>DAY(Tabela5[[#This Row],[Data]])</f>
        <v>14</v>
      </c>
      <c r="G6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08" spans="1:7">
      <c r="A608" s="11" t="s">
        <v>6</v>
      </c>
      <c r="B608" s="12">
        <v>44301</v>
      </c>
      <c r="C608" s="1" t="s">
        <v>26</v>
      </c>
      <c r="D608" s="1" t="s">
        <v>47</v>
      </c>
      <c r="E608" s="13">
        <v>1</v>
      </c>
      <c r="F608" s="11">
        <f>DAY(Tabela5[[#This Row],[Data]])</f>
        <v>15</v>
      </c>
      <c r="G6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09" spans="1:7">
      <c r="A609" s="11" t="s">
        <v>6</v>
      </c>
      <c r="B609" s="12">
        <v>44302</v>
      </c>
      <c r="C609" s="1" t="s">
        <v>26</v>
      </c>
      <c r="D609" s="1" t="s">
        <v>47</v>
      </c>
      <c r="E609" s="13">
        <v>2</v>
      </c>
      <c r="F609" s="11">
        <f>DAY(Tabela5[[#This Row],[Data]])</f>
        <v>16</v>
      </c>
      <c r="G6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10" spans="1:7">
      <c r="A610" s="11" t="s">
        <v>6</v>
      </c>
      <c r="B610" s="12">
        <v>44305</v>
      </c>
      <c r="C610" s="1" t="s">
        <v>26</v>
      </c>
      <c r="D610" s="1" t="s">
        <v>47</v>
      </c>
      <c r="E610" s="13">
        <v>2</v>
      </c>
      <c r="F610" s="11">
        <f>DAY(Tabela5[[#This Row],[Data]])</f>
        <v>19</v>
      </c>
      <c r="G6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11" spans="1:7">
      <c r="A611" s="11" t="s">
        <v>6</v>
      </c>
      <c r="B611" s="12">
        <v>44306</v>
      </c>
      <c r="C611" s="1" t="s">
        <v>26</v>
      </c>
      <c r="D611" s="1" t="s">
        <v>47</v>
      </c>
      <c r="E611" s="13">
        <v>1</v>
      </c>
      <c r="F611" s="11">
        <f>DAY(Tabela5[[#This Row],[Data]])</f>
        <v>20</v>
      </c>
      <c r="G6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12" spans="1:7">
      <c r="A612" s="11" t="s">
        <v>6</v>
      </c>
      <c r="B612" s="12">
        <v>44308</v>
      </c>
      <c r="C612" s="1" t="s">
        <v>26</v>
      </c>
      <c r="D612" s="1" t="s">
        <v>47</v>
      </c>
      <c r="E612" s="13">
        <v>1</v>
      </c>
      <c r="F612" s="11">
        <f>DAY(Tabela5[[#This Row],[Data]])</f>
        <v>22</v>
      </c>
      <c r="G6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13" spans="1:7">
      <c r="A613" s="11" t="s">
        <v>6</v>
      </c>
      <c r="B613" s="12">
        <v>44309</v>
      </c>
      <c r="C613" s="1" t="s">
        <v>26</v>
      </c>
      <c r="D613" s="1" t="s">
        <v>47</v>
      </c>
      <c r="E613" s="13">
        <v>1</v>
      </c>
      <c r="F613" s="11">
        <f>DAY(Tabela5[[#This Row],[Data]])</f>
        <v>23</v>
      </c>
      <c r="G6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14" spans="1:7">
      <c r="A614" s="11" t="s">
        <v>6</v>
      </c>
      <c r="B614" s="12">
        <v>44312</v>
      </c>
      <c r="C614" s="1" t="s">
        <v>26</v>
      </c>
      <c r="D614" s="1" t="s">
        <v>47</v>
      </c>
      <c r="E614" s="13">
        <v>1</v>
      </c>
      <c r="F614" s="11">
        <f>DAY(Tabela5[[#This Row],[Data]])</f>
        <v>26</v>
      </c>
      <c r="G6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15" spans="1:7">
      <c r="A615" s="11" t="s">
        <v>6</v>
      </c>
      <c r="B615" s="12">
        <v>44313</v>
      </c>
      <c r="C615" s="1" t="s">
        <v>26</v>
      </c>
      <c r="D615" s="1" t="s">
        <v>47</v>
      </c>
      <c r="E615" s="13">
        <v>1</v>
      </c>
      <c r="F615" s="11">
        <f>DAY(Tabela5[[#This Row],[Data]])</f>
        <v>27</v>
      </c>
      <c r="G6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16" spans="1:7">
      <c r="A616" s="11" t="s">
        <v>6</v>
      </c>
      <c r="B616" s="12">
        <v>44314</v>
      </c>
      <c r="C616" s="1" t="s">
        <v>26</v>
      </c>
      <c r="D616" s="1" t="s">
        <v>47</v>
      </c>
      <c r="E616" s="13">
        <v>2</v>
      </c>
      <c r="F616" s="11">
        <f>DAY(Tabela5[[#This Row],[Data]])</f>
        <v>28</v>
      </c>
      <c r="G6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17" spans="1:7">
      <c r="A617" s="11" t="s">
        <v>6</v>
      </c>
      <c r="B617" s="12">
        <v>44315</v>
      </c>
      <c r="C617" s="1" t="s">
        <v>26</v>
      </c>
      <c r="D617" s="1" t="s">
        <v>47</v>
      </c>
      <c r="E617" s="13">
        <v>2</v>
      </c>
      <c r="F617" s="11">
        <f>DAY(Tabela5[[#This Row],[Data]])</f>
        <v>29</v>
      </c>
      <c r="G6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18" spans="1:7">
      <c r="A618" s="11" t="s">
        <v>6</v>
      </c>
      <c r="B618" s="12">
        <v>44316</v>
      </c>
      <c r="C618" s="1" t="s">
        <v>26</v>
      </c>
      <c r="D618" s="1" t="s">
        <v>47</v>
      </c>
      <c r="E618" s="13">
        <v>1</v>
      </c>
      <c r="F618" s="11">
        <f>DAY(Tabela5[[#This Row],[Data]])</f>
        <v>30</v>
      </c>
      <c r="G6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19" spans="1:7">
      <c r="A619" s="11" t="s">
        <v>6</v>
      </c>
      <c r="B619" s="12">
        <v>44287</v>
      </c>
      <c r="C619" s="1" t="s">
        <v>38</v>
      </c>
      <c r="D619" s="1" t="s">
        <v>47</v>
      </c>
      <c r="E619" s="13">
        <v>1</v>
      </c>
      <c r="F619" s="11">
        <f>DAY(Tabela5[[#This Row],[Data]])</f>
        <v>1</v>
      </c>
      <c r="G6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20" spans="1:7">
      <c r="A620" s="11" t="s">
        <v>6</v>
      </c>
      <c r="B620" s="12">
        <v>44291</v>
      </c>
      <c r="C620" s="1" t="s">
        <v>38</v>
      </c>
      <c r="D620" s="1" t="s">
        <v>47</v>
      </c>
      <c r="E620" s="13">
        <v>2</v>
      </c>
      <c r="F620" s="11">
        <f>DAY(Tabela5[[#This Row],[Data]])</f>
        <v>5</v>
      </c>
      <c r="G6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21" spans="1:7">
      <c r="A621" s="11" t="s">
        <v>6</v>
      </c>
      <c r="B621" s="12">
        <v>44292</v>
      </c>
      <c r="C621" s="1" t="s">
        <v>38</v>
      </c>
      <c r="D621" s="1" t="s">
        <v>47</v>
      </c>
      <c r="E621" s="13">
        <v>2</v>
      </c>
      <c r="F621" s="11">
        <f>DAY(Tabela5[[#This Row],[Data]])</f>
        <v>6</v>
      </c>
      <c r="G6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22" spans="1:7">
      <c r="A622" s="11" t="s">
        <v>6</v>
      </c>
      <c r="B622" s="12">
        <v>44293</v>
      </c>
      <c r="C622" s="1" t="s">
        <v>38</v>
      </c>
      <c r="D622" s="1" t="s">
        <v>47</v>
      </c>
      <c r="E622" s="13">
        <v>2</v>
      </c>
      <c r="F622" s="11">
        <f>DAY(Tabela5[[#This Row],[Data]])</f>
        <v>7</v>
      </c>
      <c r="G6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23" spans="1:7">
      <c r="A623" s="11" t="s">
        <v>6</v>
      </c>
      <c r="B623" s="12">
        <v>44294</v>
      </c>
      <c r="C623" s="1" t="s">
        <v>38</v>
      </c>
      <c r="D623" s="1" t="s">
        <v>47</v>
      </c>
      <c r="E623" s="13">
        <v>1</v>
      </c>
      <c r="F623" s="11">
        <f>DAY(Tabela5[[#This Row],[Data]])</f>
        <v>8</v>
      </c>
      <c r="G6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24" spans="1:7">
      <c r="A624" s="11" t="s">
        <v>6</v>
      </c>
      <c r="B624" s="12">
        <v>44295</v>
      </c>
      <c r="C624" s="1" t="s">
        <v>38</v>
      </c>
      <c r="D624" s="1" t="s">
        <v>47</v>
      </c>
      <c r="E624" s="13">
        <v>1</v>
      </c>
      <c r="F624" s="11">
        <f>DAY(Tabela5[[#This Row],[Data]])</f>
        <v>9</v>
      </c>
      <c r="G6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25" spans="1:7">
      <c r="A625" s="11" t="s">
        <v>6</v>
      </c>
      <c r="B625" s="12">
        <v>44298</v>
      </c>
      <c r="C625" s="1" t="s">
        <v>38</v>
      </c>
      <c r="D625" s="1" t="s">
        <v>47</v>
      </c>
      <c r="E625" s="13">
        <v>1</v>
      </c>
      <c r="F625" s="11">
        <f>DAY(Tabela5[[#This Row],[Data]])</f>
        <v>12</v>
      </c>
      <c r="G6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26" spans="1:7">
      <c r="A626" s="11" t="s">
        <v>6</v>
      </c>
      <c r="B626" s="12">
        <v>44299</v>
      </c>
      <c r="C626" s="1" t="s">
        <v>38</v>
      </c>
      <c r="D626" s="1" t="s">
        <v>47</v>
      </c>
      <c r="E626" s="13">
        <v>1</v>
      </c>
      <c r="F626" s="11">
        <f>DAY(Tabela5[[#This Row],[Data]])</f>
        <v>13</v>
      </c>
      <c r="G6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27" spans="1:7">
      <c r="A627" s="11" t="s">
        <v>6</v>
      </c>
      <c r="B627" s="12">
        <v>44300</v>
      </c>
      <c r="C627" s="1" t="s">
        <v>38</v>
      </c>
      <c r="D627" s="1" t="s">
        <v>47</v>
      </c>
      <c r="E627" s="13">
        <v>1</v>
      </c>
      <c r="F627" s="11">
        <f>DAY(Tabela5[[#This Row],[Data]])</f>
        <v>14</v>
      </c>
      <c r="G6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28" spans="1:7">
      <c r="A628" s="11" t="s">
        <v>6</v>
      </c>
      <c r="B628" s="12">
        <v>44301</v>
      </c>
      <c r="C628" s="1" t="s">
        <v>38</v>
      </c>
      <c r="D628" s="1" t="s">
        <v>47</v>
      </c>
      <c r="E628" s="13">
        <v>1</v>
      </c>
      <c r="F628" s="11">
        <f>DAY(Tabela5[[#This Row],[Data]])</f>
        <v>15</v>
      </c>
      <c r="G6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29" spans="1:7">
      <c r="A629" s="11" t="s">
        <v>6</v>
      </c>
      <c r="B629" s="12">
        <v>44302</v>
      </c>
      <c r="C629" s="1" t="s">
        <v>38</v>
      </c>
      <c r="D629" s="1" t="s">
        <v>47</v>
      </c>
      <c r="E629" s="13">
        <v>1</v>
      </c>
      <c r="F629" s="11">
        <f>DAY(Tabela5[[#This Row],[Data]])</f>
        <v>16</v>
      </c>
      <c r="G6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30" spans="1:7">
      <c r="A630" s="11" t="s">
        <v>6</v>
      </c>
      <c r="B630" s="12">
        <v>44305</v>
      </c>
      <c r="C630" s="1" t="s">
        <v>38</v>
      </c>
      <c r="D630" s="1" t="s">
        <v>47</v>
      </c>
      <c r="E630" s="13">
        <v>2</v>
      </c>
      <c r="F630" s="11">
        <f>DAY(Tabela5[[#This Row],[Data]])</f>
        <v>19</v>
      </c>
      <c r="G6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31" spans="1:7">
      <c r="A631" s="11" t="s">
        <v>6</v>
      </c>
      <c r="B631" s="12">
        <v>44306</v>
      </c>
      <c r="C631" s="1" t="s">
        <v>38</v>
      </c>
      <c r="D631" s="1" t="s">
        <v>47</v>
      </c>
      <c r="E631" s="13">
        <v>1</v>
      </c>
      <c r="F631" s="11">
        <f>DAY(Tabela5[[#This Row],[Data]])</f>
        <v>20</v>
      </c>
      <c r="G6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32" spans="1:7">
      <c r="A632" s="11" t="s">
        <v>6</v>
      </c>
      <c r="B632" s="12">
        <v>44308</v>
      </c>
      <c r="C632" s="1" t="s">
        <v>38</v>
      </c>
      <c r="D632" s="1" t="s">
        <v>47</v>
      </c>
      <c r="E632" s="13">
        <v>2</v>
      </c>
      <c r="F632" s="11">
        <f>DAY(Tabela5[[#This Row],[Data]])</f>
        <v>22</v>
      </c>
      <c r="G6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33" spans="1:7">
      <c r="A633" s="11" t="s">
        <v>6</v>
      </c>
      <c r="B633" s="12">
        <v>44308</v>
      </c>
      <c r="C633" s="1" t="s">
        <v>38</v>
      </c>
      <c r="D633" s="1" t="s">
        <v>47</v>
      </c>
      <c r="E633" s="13">
        <v>1</v>
      </c>
      <c r="F633" s="11">
        <f>DAY(Tabela5[[#This Row],[Data]])</f>
        <v>22</v>
      </c>
      <c r="G6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34" spans="1:7">
      <c r="A634" s="11" t="s">
        <v>6</v>
      </c>
      <c r="B634" s="12">
        <v>44308</v>
      </c>
      <c r="C634" s="1" t="s">
        <v>38</v>
      </c>
      <c r="D634" s="1" t="s">
        <v>47</v>
      </c>
      <c r="E634" s="13">
        <v>2</v>
      </c>
      <c r="F634" s="11">
        <f>DAY(Tabela5[[#This Row],[Data]])</f>
        <v>22</v>
      </c>
      <c r="G6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35" spans="1:7">
      <c r="A635" s="11" t="s">
        <v>6</v>
      </c>
      <c r="B635" s="12">
        <v>44309</v>
      </c>
      <c r="C635" s="1" t="s">
        <v>38</v>
      </c>
      <c r="D635" s="1" t="s">
        <v>47</v>
      </c>
      <c r="E635" s="13">
        <v>1</v>
      </c>
      <c r="F635" s="11">
        <f>DAY(Tabela5[[#This Row],[Data]])</f>
        <v>23</v>
      </c>
      <c r="G6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36" spans="1:7">
      <c r="A636" s="11" t="s">
        <v>6</v>
      </c>
      <c r="B636" s="12">
        <v>44312</v>
      </c>
      <c r="C636" s="1" t="s">
        <v>38</v>
      </c>
      <c r="D636" s="1" t="s">
        <v>47</v>
      </c>
      <c r="E636" s="13">
        <v>2</v>
      </c>
      <c r="F636" s="11">
        <f>DAY(Tabela5[[#This Row],[Data]])</f>
        <v>26</v>
      </c>
      <c r="G6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37" spans="1:7">
      <c r="A637" s="11" t="s">
        <v>6</v>
      </c>
      <c r="B637" s="12">
        <v>44313</v>
      </c>
      <c r="C637" s="1" t="s">
        <v>38</v>
      </c>
      <c r="D637" s="1" t="s">
        <v>47</v>
      </c>
      <c r="E637" s="13">
        <v>1</v>
      </c>
      <c r="F637" s="11">
        <f>DAY(Tabela5[[#This Row],[Data]])</f>
        <v>27</v>
      </c>
      <c r="G6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38" spans="1:7">
      <c r="A638" s="11" t="s">
        <v>6</v>
      </c>
      <c r="B638" s="12">
        <v>44314</v>
      </c>
      <c r="C638" s="1" t="s">
        <v>38</v>
      </c>
      <c r="D638" s="1" t="s">
        <v>47</v>
      </c>
      <c r="E638" s="13">
        <v>2</v>
      </c>
      <c r="F638" s="11">
        <f>DAY(Tabela5[[#This Row],[Data]])</f>
        <v>28</v>
      </c>
      <c r="G6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39" spans="1:7">
      <c r="A639" s="11" t="s">
        <v>6</v>
      </c>
      <c r="B639" s="12">
        <v>44315</v>
      </c>
      <c r="C639" s="1" t="s">
        <v>38</v>
      </c>
      <c r="D639" s="1" t="s">
        <v>47</v>
      </c>
      <c r="E639" s="13">
        <v>2</v>
      </c>
      <c r="F639" s="11">
        <f>DAY(Tabela5[[#This Row],[Data]])</f>
        <v>29</v>
      </c>
      <c r="G6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40" spans="1:7">
      <c r="A640" s="11" t="s">
        <v>6</v>
      </c>
      <c r="B640" s="12">
        <v>44316</v>
      </c>
      <c r="C640" s="1" t="s">
        <v>38</v>
      </c>
      <c r="D640" s="1" t="s">
        <v>47</v>
      </c>
      <c r="E640" s="13">
        <v>2</v>
      </c>
      <c r="F640" s="11">
        <f>DAY(Tabela5[[#This Row],[Data]])</f>
        <v>30</v>
      </c>
      <c r="G6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41" spans="1:7">
      <c r="A641" s="11" t="s">
        <v>6</v>
      </c>
      <c r="B641" s="12">
        <v>44316</v>
      </c>
      <c r="C641" s="1" t="s">
        <v>38</v>
      </c>
      <c r="D641" s="1" t="s">
        <v>47</v>
      </c>
      <c r="E641" s="13">
        <v>2</v>
      </c>
      <c r="F641" s="11">
        <f>DAY(Tabela5[[#This Row],[Data]])</f>
        <v>30</v>
      </c>
      <c r="G6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42" spans="1:7">
      <c r="A642" s="11" t="s">
        <v>6</v>
      </c>
      <c r="B642" s="12">
        <v>44316</v>
      </c>
      <c r="C642" s="1" t="s">
        <v>38</v>
      </c>
      <c r="D642" s="1" t="s">
        <v>47</v>
      </c>
      <c r="E642" s="13">
        <v>2</v>
      </c>
      <c r="F642" s="11">
        <f>DAY(Tabela5[[#This Row],[Data]])</f>
        <v>30</v>
      </c>
      <c r="G6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43" spans="1:7">
      <c r="A643" s="11" t="s">
        <v>6</v>
      </c>
      <c r="B643" s="12">
        <v>44316</v>
      </c>
      <c r="C643" s="1" t="s">
        <v>38</v>
      </c>
      <c r="D643" s="1" t="s">
        <v>47</v>
      </c>
      <c r="E643" s="13">
        <v>1</v>
      </c>
      <c r="F643" s="11">
        <f>DAY(Tabela5[[#This Row],[Data]])</f>
        <v>30</v>
      </c>
      <c r="G6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44" spans="1:7">
      <c r="A644" s="11" t="s">
        <v>6</v>
      </c>
      <c r="B644" s="12">
        <v>44287</v>
      </c>
      <c r="C644" s="1" t="s">
        <v>13</v>
      </c>
      <c r="D644" s="1" t="s">
        <v>47</v>
      </c>
      <c r="E644" s="13">
        <v>1</v>
      </c>
      <c r="F644" s="11">
        <f>DAY(Tabela5[[#This Row],[Data]])</f>
        <v>1</v>
      </c>
      <c r="G6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45" spans="1:7">
      <c r="A645" s="11" t="s">
        <v>6</v>
      </c>
      <c r="B645" s="12">
        <v>44287</v>
      </c>
      <c r="C645" s="1" t="s">
        <v>13</v>
      </c>
      <c r="D645" s="1" t="s">
        <v>47</v>
      </c>
      <c r="E645" s="13">
        <v>2</v>
      </c>
      <c r="F645" s="11">
        <f>DAY(Tabela5[[#This Row],[Data]])</f>
        <v>1</v>
      </c>
      <c r="G6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46" spans="1:7">
      <c r="A646" s="11" t="s">
        <v>6</v>
      </c>
      <c r="B646" s="12">
        <v>44291</v>
      </c>
      <c r="C646" s="1" t="s">
        <v>13</v>
      </c>
      <c r="D646" s="1" t="s">
        <v>47</v>
      </c>
      <c r="E646" s="13">
        <v>1</v>
      </c>
      <c r="F646" s="11">
        <f>DAY(Tabela5[[#This Row],[Data]])</f>
        <v>5</v>
      </c>
      <c r="G6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47" spans="1:7">
      <c r="A647" s="11" t="s">
        <v>6</v>
      </c>
      <c r="B647" s="12">
        <v>44292</v>
      </c>
      <c r="C647" s="1" t="s">
        <v>13</v>
      </c>
      <c r="D647" s="1" t="s">
        <v>47</v>
      </c>
      <c r="E647" s="13">
        <v>2</v>
      </c>
      <c r="F647" s="11">
        <f>DAY(Tabela5[[#This Row],[Data]])</f>
        <v>6</v>
      </c>
      <c r="G6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48" spans="1:7">
      <c r="A648" s="11" t="s">
        <v>6</v>
      </c>
      <c r="B648" s="12">
        <v>44293</v>
      </c>
      <c r="C648" s="1" t="s">
        <v>13</v>
      </c>
      <c r="D648" s="1" t="s">
        <v>47</v>
      </c>
      <c r="E648" s="13">
        <v>1</v>
      </c>
      <c r="F648" s="11">
        <f>DAY(Tabela5[[#This Row],[Data]])</f>
        <v>7</v>
      </c>
      <c r="G6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49" spans="1:7">
      <c r="A649" s="11" t="s">
        <v>6</v>
      </c>
      <c r="B649" s="12">
        <v>44294</v>
      </c>
      <c r="C649" s="1" t="s">
        <v>13</v>
      </c>
      <c r="D649" s="1" t="s">
        <v>47</v>
      </c>
      <c r="E649" s="13">
        <v>2</v>
      </c>
      <c r="F649" s="11">
        <f>DAY(Tabela5[[#This Row],[Data]])</f>
        <v>8</v>
      </c>
      <c r="G6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50" spans="1:7">
      <c r="A650" s="11" t="s">
        <v>6</v>
      </c>
      <c r="B650" s="12">
        <v>44295</v>
      </c>
      <c r="C650" s="1" t="s">
        <v>13</v>
      </c>
      <c r="D650" s="1" t="s">
        <v>47</v>
      </c>
      <c r="E650" s="13">
        <v>2</v>
      </c>
      <c r="F650" s="11">
        <f>DAY(Tabela5[[#This Row],[Data]])</f>
        <v>9</v>
      </c>
      <c r="G6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51" spans="1:7">
      <c r="A651" s="11" t="s">
        <v>6</v>
      </c>
      <c r="B651" s="12">
        <v>44298</v>
      </c>
      <c r="C651" s="1" t="s">
        <v>13</v>
      </c>
      <c r="D651" s="1" t="s">
        <v>47</v>
      </c>
      <c r="E651" s="13">
        <v>1</v>
      </c>
      <c r="F651" s="11">
        <f>DAY(Tabela5[[#This Row],[Data]])</f>
        <v>12</v>
      </c>
      <c r="G6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52" spans="1:7">
      <c r="A652" s="11" t="s">
        <v>6</v>
      </c>
      <c r="B652" s="12">
        <v>44299</v>
      </c>
      <c r="C652" s="1" t="s">
        <v>13</v>
      </c>
      <c r="D652" s="1" t="s">
        <v>47</v>
      </c>
      <c r="E652" s="13">
        <v>1</v>
      </c>
      <c r="F652" s="11">
        <f>DAY(Tabela5[[#This Row],[Data]])</f>
        <v>13</v>
      </c>
      <c r="G6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53" spans="1:7">
      <c r="A653" s="11" t="s">
        <v>6</v>
      </c>
      <c r="B653" s="12">
        <v>44300</v>
      </c>
      <c r="C653" s="1" t="s">
        <v>13</v>
      </c>
      <c r="D653" s="1" t="s">
        <v>47</v>
      </c>
      <c r="E653" s="13">
        <v>1</v>
      </c>
      <c r="F653" s="11">
        <f>DAY(Tabela5[[#This Row],[Data]])</f>
        <v>14</v>
      </c>
      <c r="G6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54" spans="1:7">
      <c r="A654" s="11" t="s">
        <v>6</v>
      </c>
      <c r="B654" s="12">
        <v>44301</v>
      </c>
      <c r="C654" s="1" t="s">
        <v>13</v>
      </c>
      <c r="D654" s="1" t="s">
        <v>47</v>
      </c>
      <c r="E654" s="13">
        <v>1</v>
      </c>
      <c r="F654" s="11">
        <f>DAY(Tabela5[[#This Row],[Data]])</f>
        <v>15</v>
      </c>
      <c r="G6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55" spans="1:7">
      <c r="A655" s="11" t="s">
        <v>6</v>
      </c>
      <c r="B655" s="12">
        <v>44302</v>
      </c>
      <c r="C655" s="1" t="s">
        <v>13</v>
      </c>
      <c r="D655" s="1" t="s">
        <v>47</v>
      </c>
      <c r="E655" s="13">
        <v>1</v>
      </c>
      <c r="F655" s="11">
        <f>DAY(Tabela5[[#This Row],[Data]])</f>
        <v>16</v>
      </c>
      <c r="G6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56" spans="1:7">
      <c r="A656" s="11" t="s">
        <v>6</v>
      </c>
      <c r="B656" s="12">
        <v>44305</v>
      </c>
      <c r="C656" s="1" t="s">
        <v>13</v>
      </c>
      <c r="D656" s="1" t="s">
        <v>47</v>
      </c>
      <c r="E656" s="13">
        <v>1</v>
      </c>
      <c r="F656" s="11">
        <f>DAY(Tabela5[[#This Row],[Data]])</f>
        <v>19</v>
      </c>
      <c r="G6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57" spans="1:7">
      <c r="A657" s="11" t="s">
        <v>6</v>
      </c>
      <c r="B657" s="12">
        <v>44306</v>
      </c>
      <c r="C657" s="1" t="s">
        <v>13</v>
      </c>
      <c r="D657" s="1" t="s">
        <v>47</v>
      </c>
      <c r="E657" s="13">
        <v>1</v>
      </c>
      <c r="F657" s="11">
        <f>DAY(Tabela5[[#This Row],[Data]])</f>
        <v>20</v>
      </c>
      <c r="G6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58" spans="1:7">
      <c r="A658" s="11" t="s">
        <v>6</v>
      </c>
      <c r="B658" s="12">
        <v>44308</v>
      </c>
      <c r="C658" s="1" t="s">
        <v>13</v>
      </c>
      <c r="D658" s="1" t="s">
        <v>47</v>
      </c>
      <c r="E658" s="13">
        <v>1</v>
      </c>
      <c r="F658" s="11">
        <f>DAY(Tabela5[[#This Row],[Data]])</f>
        <v>22</v>
      </c>
      <c r="G6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59" spans="1:7">
      <c r="A659" s="11" t="s">
        <v>6</v>
      </c>
      <c r="B659" s="12">
        <v>44309</v>
      </c>
      <c r="C659" s="1" t="s">
        <v>13</v>
      </c>
      <c r="D659" s="1" t="s">
        <v>47</v>
      </c>
      <c r="E659" s="13">
        <v>1</v>
      </c>
      <c r="F659" s="11">
        <f>DAY(Tabela5[[#This Row],[Data]])</f>
        <v>23</v>
      </c>
      <c r="G6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60" spans="1:7">
      <c r="A660" s="11" t="s">
        <v>6</v>
      </c>
      <c r="B660" s="12">
        <v>44312</v>
      </c>
      <c r="C660" s="1" t="s">
        <v>13</v>
      </c>
      <c r="D660" s="1" t="s">
        <v>47</v>
      </c>
      <c r="E660" s="13">
        <v>1</v>
      </c>
      <c r="F660" s="11">
        <f>DAY(Tabela5[[#This Row],[Data]])</f>
        <v>26</v>
      </c>
      <c r="G6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61" spans="1:7">
      <c r="A661" s="11" t="s">
        <v>6</v>
      </c>
      <c r="B661" s="12">
        <v>44313</v>
      </c>
      <c r="C661" s="1" t="s">
        <v>13</v>
      </c>
      <c r="D661" s="1" t="s">
        <v>47</v>
      </c>
      <c r="E661" s="13">
        <v>2</v>
      </c>
      <c r="F661" s="11">
        <f>DAY(Tabela5[[#This Row],[Data]])</f>
        <v>27</v>
      </c>
      <c r="G6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62" spans="1:7">
      <c r="A662" s="11" t="s">
        <v>6</v>
      </c>
      <c r="B662" s="12">
        <v>44314</v>
      </c>
      <c r="C662" s="1" t="s">
        <v>13</v>
      </c>
      <c r="D662" s="1" t="s">
        <v>47</v>
      </c>
      <c r="E662" s="13">
        <v>2</v>
      </c>
      <c r="F662" s="11">
        <f>DAY(Tabela5[[#This Row],[Data]])</f>
        <v>28</v>
      </c>
      <c r="G6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63" spans="1:7">
      <c r="A663" s="11" t="s">
        <v>6</v>
      </c>
      <c r="B663" s="12">
        <v>44315</v>
      </c>
      <c r="C663" s="1" t="s">
        <v>13</v>
      </c>
      <c r="D663" s="1" t="s">
        <v>47</v>
      </c>
      <c r="E663" s="13">
        <v>2</v>
      </c>
      <c r="F663" s="11">
        <f>DAY(Tabela5[[#This Row],[Data]])</f>
        <v>29</v>
      </c>
      <c r="G6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64" spans="1:7">
      <c r="A664" s="11" t="s">
        <v>6</v>
      </c>
      <c r="B664" s="12">
        <v>44316</v>
      </c>
      <c r="C664" s="1" t="s">
        <v>13</v>
      </c>
      <c r="D664" s="1" t="s">
        <v>47</v>
      </c>
      <c r="E664" s="13">
        <v>1</v>
      </c>
      <c r="F664" s="11">
        <f>DAY(Tabela5[[#This Row],[Data]])</f>
        <v>30</v>
      </c>
      <c r="G6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65" spans="1:7">
      <c r="A665" s="11" t="s">
        <v>6</v>
      </c>
      <c r="B665" s="12">
        <v>44316</v>
      </c>
      <c r="C665" s="1" t="s">
        <v>13</v>
      </c>
      <c r="D665" s="1" t="s">
        <v>47</v>
      </c>
      <c r="E665" s="13">
        <v>1</v>
      </c>
      <c r="F665" s="11">
        <f>DAY(Tabela5[[#This Row],[Data]])</f>
        <v>30</v>
      </c>
      <c r="G6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66" spans="1:7">
      <c r="A666" s="11" t="s">
        <v>6</v>
      </c>
      <c r="B666" s="12">
        <v>44287</v>
      </c>
      <c r="C666" s="1" t="s">
        <v>39</v>
      </c>
      <c r="D666" s="1" t="s">
        <v>47</v>
      </c>
      <c r="E666" s="13">
        <v>2</v>
      </c>
      <c r="F666" s="11">
        <f>DAY(Tabela5[[#This Row],[Data]])</f>
        <v>1</v>
      </c>
      <c r="G6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67" spans="1:7">
      <c r="A667" s="11" t="s">
        <v>6</v>
      </c>
      <c r="B667" s="12">
        <v>44287</v>
      </c>
      <c r="C667" s="1" t="s">
        <v>39</v>
      </c>
      <c r="D667" s="1" t="s">
        <v>47</v>
      </c>
      <c r="E667" s="13">
        <v>1</v>
      </c>
      <c r="F667" s="11">
        <f>DAY(Tabela5[[#This Row],[Data]])</f>
        <v>1</v>
      </c>
      <c r="G6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68" spans="1:7">
      <c r="A668" s="11" t="s">
        <v>6</v>
      </c>
      <c r="B668" s="12">
        <v>44289</v>
      </c>
      <c r="C668" s="1" t="s">
        <v>39</v>
      </c>
      <c r="D668" s="1" t="s">
        <v>47</v>
      </c>
      <c r="E668" s="13">
        <v>2</v>
      </c>
      <c r="F668" s="11">
        <f>DAY(Tabela5[[#This Row],[Data]])</f>
        <v>3</v>
      </c>
      <c r="G6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669" spans="1:7">
      <c r="A669" s="11" t="s">
        <v>6</v>
      </c>
      <c r="B669" s="12">
        <v>44291</v>
      </c>
      <c r="C669" s="1" t="s">
        <v>39</v>
      </c>
      <c r="D669" s="1" t="s">
        <v>47</v>
      </c>
      <c r="E669" s="13">
        <v>1</v>
      </c>
      <c r="F669" s="11">
        <f>DAY(Tabela5[[#This Row],[Data]])</f>
        <v>5</v>
      </c>
      <c r="G6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70" spans="1:7">
      <c r="A670" s="11" t="s">
        <v>6</v>
      </c>
      <c r="B670" s="12">
        <v>44292</v>
      </c>
      <c r="C670" s="1" t="s">
        <v>39</v>
      </c>
      <c r="D670" s="1" t="s">
        <v>47</v>
      </c>
      <c r="E670" s="13">
        <v>2</v>
      </c>
      <c r="F670" s="11">
        <f>DAY(Tabela5[[#This Row],[Data]])</f>
        <v>6</v>
      </c>
      <c r="G6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71" spans="1:7">
      <c r="A671" s="11" t="s">
        <v>6</v>
      </c>
      <c r="B671" s="12">
        <v>44292</v>
      </c>
      <c r="C671" s="1" t="s">
        <v>39</v>
      </c>
      <c r="D671" s="1" t="s">
        <v>47</v>
      </c>
      <c r="E671" s="13">
        <v>2</v>
      </c>
      <c r="F671" s="11">
        <f>DAY(Tabela5[[#This Row],[Data]])</f>
        <v>6</v>
      </c>
      <c r="G6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72" spans="1:7">
      <c r="A672" s="11" t="s">
        <v>6</v>
      </c>
      <c r="B672" s="12">
        <v>44293</v>
      </c>
      <c r="C672" s="1" t="s">
        <v>39</v>
      </c>
      <c r="D672" s="1" t="s">
        <v>47</v>
      </c>
      <c r="E672" s="13">
        <v>1</v>
      </c>
      <c r="F672" s="11">
        <f>DAY(Tabela5[[#This Row],[Data]])</f>
        <v>7</v>
      </c>
      <c r="G6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73" spans="1:7">
      <c r="A673" s="11" t="s">
        <v>6</v>
      </c>
      <c r="B673" s="12">
        <v>44293</v>
      </c>
      <c r="C673" s="1" t="s">
        <v>39</v>
      </c>
      <c r="D673" s="1" t="s">
        <v>47</v>
      </c>
      <c r="E673" s="13">
        <v>1</v>
      </c>
      <c r="F673" s="11">
        <f>DAY(Tabela5[[#This Row],[Data]])</f>
        <v>7</v>
      </c>
      <c r="G6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74" spans="1:7">
      <c r="A674" s="11" t="s">
        <v>6</v>
      </c>
      <c r="B674" s="12">
        <v>44294</v>
      </c>
      <c r="C674" s="1" t="s">
        <v>39</v>
      </c>
      <c r="D674" s="1" t="s">
        <v>47</v>
      </c>
      <c r="E674" s="13">
        <v>2</v>
      </c>
      <c r="F674" s="11">
        <f>DAY(Tabela5[[#This Row],[Data]])</f>
        <v>8</v>
      </c>
      <c r="G6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75" spans="1:7">
      <c r="A675" s="11" t="s">
        <v>6</v>
      </c>
      <c r="B675" s="12">
        <v>44294</v>
      </c>
      <c r="C675" s="1" t="s">
        <v>39</v>
      </c>
      <c r="D675" s="1" t="s">
        <v>47</v>
      </c>
      <c r="E675" s="13">
        <v>2</v>
      </c>
      <c r="F675" s="11">
        <f>DAY(Tabela5[[#This Row],[Data]])</f>
        <v>8</v>
      </c>
      <c r="G6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76" spans="1:7">
      <c r="A676" s="11" t="s">
        <v>6</v>
      </c>
      <c r="B676" s="12">
        <v>44297</v>
      </c>
      <c r="C676" s="1" t="s">
        <v>39</v>
      </c>
      <c r="D676" s="1" t="s">
        <v>47</v>
      </c>
      <c r="E676" s="13">
        <v>2</v>
      </c>
      <c r="F676" s="11">
        <f>DAY(Tabela5[[#This Row],[Data]])</f>
        <v>11</v>
      </c>
      <c r="G6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677" spans="1:7">
      <c r="A677" s="11" t="s">
        <v>6</v>
      </c>
      <c r="B677" s="12">
        <v>44298</v>
      </c>
      <c r="C677" s="1" t="s">
        <v>39</v>
      </c>
      <c r="D677" s="1" t="s">
        <v>47</v>
      </c>
      <c r="E677" s="13">
        <v>2</v>
      </c>
      <c r="F677" s="11">
        <f>DAY(Tabela5[[#This Row],[Data]])</f>
        <v>12</v>
      </c>
      <c r="G6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78" spans="1:7">
      <c r="A678" s="11" t="s">
        <v>6</v>
      </c>
      <c r="B678" s="12">
        <v>44298</v>
      </c>
      <c r="C678" s="1" t="s">
        <v>39</v>
      </c>
      <c r="D678" s="1" t="s">
        <v>47</v>
      </c>
      <c r="E678" s="13">
        <v>2</v>
      </c>
      <c r="F678" s="11">
        <f>DAY(Tabela5[[#This Row],[Data]])</f>
        <v>12</v>
      </c>
      <c r="G6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79" spans="1:7">
      <c r="A679" s="11" t="s">
        <v>6</v>
      </c>
      <c r="B679" s="12">
        <v>44299</v>
      </c>
      <c r="C679" s="1" t="s">
        <v>39</v>
      </c>
      <c r="D679" s="1" t="s">
        <v>47</v>
      </c>
      <c r="E679" s="13">
        <v>1</v>
      </c>
      <c r="F679" s="11">
        <f>DAY(Tabela5[[#This Row],[Data]])</f>
        <v>13</v>
      </c>
      <c r="G6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80" spans="1:7">
      <c r="A680" s="11" t="s">
        <v>6</v>
      </c>
      <c r="B680" s="12">
        <v>44299</v>
      </c>
      <c r="C680" s="1" t="s">
        <v>39</v>
      </c>
      <c r="D680" s="1" t="s">
        <v>47</v>
      </c>
      <c r="E680" s="13">
        <v>2</v>
      </c>
      <c r="F680" s="11">
        <f>DAY(Tabela5[[#This Row],[Data]])</f>
        <v>13</v>
      </c>
      <c r="G6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81" spans="1:7">
      <c r="A681" s="11" t="s">
        <v>6</v>
      </c>
      <c r="B681" s="12">
        <v>44300</v>
      </c>
      <c r="C681" s="1" t="s">
        <v>39</v>
      </c>
      <c r="D681" s="1" t="s">
        <v>47</v>
      </c>
      <c r="E681" s="13">
        <v>2</v>
      </c>
      <c r="F681" s="11">
        <f>DAY(Tabela5[[#This Row],[Data]])</f>
        <v>14</v>
      </c>
      <c r="G6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682" spans="1:7">
      <c r="A682" s="11" t="s">
        <v>6</v>
      </c>
      <c r="B682" s="12">
        <v>44301</v>
      </c>
      <c r="C682" s="1" t="s">
        <v>39</v>
      </c>
      <c r="D682" s="1" t="s">
        <v>47</v>
      </c>
      <c r="E682" s="13">
        <v>1</v>
      </c>
      <c r="F682" s="11">
        <f>DAY(Tabela5[[#This Row],[Data]])</f>
        <v>15</v>
      </c>
      <c r="G6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83" spans="1:7">
      <c r="A683" s="11" t="s">
        <v>6</v>
      </c>
      <c r="B683" s="12">
        <v>44302</v>
      </c>
      <c r="C683" s="1" t="s">
        <v>39</v>
      </c>
      <c r="D683" s="1" t="s">
        <v>47</v>
      </c>
      <c r="E683" s="13">
        <v>1</v>
      </c>
      <c r="F683" s="11">
        <f>DAY(Tabela5[[#This Row],[Data]])</f>
        <v>16</v>
      </c>
      <c r="G6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84" spans="1:7">
      <c r="A684" s="11" t="s">
        <v>6</v>
      </c>
      <c r="B684" s="12">
        <v>44302</v>
      </c>
      <c r="C684" s="1" t="s">
        <v>39</v>
      </c>
      <c r="D684" s="1" t="s">
        <v>47</v>
      </c>
      <c r="E684" s="13">
        <v>2</v>
      </c>
      <c r="F684" s="11">
        <f>DAY(Tabela5[[#This Row],[Data]])</f>
        <v>16</v>
      </c>
      <c r="G6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85" spans="1:7">
      <c r="A685" s="11" t="s">
        <v>6</v>
      </c>
      <c r="B685" s="12">
        <v>44305</v>
      </c>
      <c r="C685" s="1" t="s">
        <v>39</v>
      </c>
      <c r="D685" s="1" t="s">
        <v>47</v>
      </c>
      <c r="E685" s="13">
        <v>2</v>
      </c>
      <c r="F685" s="11">
        <f>DAY(Tabela5[[#This Row],[Data]])</f>
        <v>19</v>
      </c>
      <c r="G6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86" spans="1:7">
      <c r="A686" s="11" t="s">
        <v>6</v>
      </c>
      <c r="B686" s="12">
        <v>44305</v>
      </c>
      <c r="C686" s="1" t="s">
        <v>39</v>
      </c>
      <c r="D686" s="1" t="s">
        <v>47</v>
      </c>
      <c r="E686" s="13">
        <v>2</v>
      </c>
      <c r="F686" s="11">
        <f>DAY(Tabela5[[#This Row],[Data]])</f>
        <v>19</v>
      </c>
      <c r="G6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87" spans="1:7">
      <c r="A687" s="11" t="s">
        <v>6</v>
      </c>
      <c r="B687" s="12">
        <v>44305</v>
      </c>
      <c r="C687" s="1" t="s">
        <v>39</v>
      </c>
      <c r="D687" s="1" t="s">
        <v>47</v>
      </c>
      <c r="E687" s="13">
        <v>1</v>
      </c>
      <c r="F687" s="11">
        <f>DAY(Tabela5[[#This Row],[Data]])</f>
        <v>19</v>
      </c>
      <c r="G6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88" spans="1:7">
      <c r="A688" s="11" t="s">
        <v>6</v>
      </c>
      <c r="B688" s="12">
        <v>44306</v>
      </c>
      <c r="C688" s="1" t="s">
        <v>39</v>
      </c>
      <c r="D688" s="1" t="s">
        <v>47</v>
      </c>
      <c r="E688" s="13">
        <v>2</v>
      </c>
      <c r="F688" s="11">
        <f>DAY(Tabela5[[#This Row],[Data]])</f>
        <v>20</v>
      </c>
      <c r="G6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89" spans="1:7">
      <c r="A689" s="11" t="s">
        <v>6</v>
      </c>
      <c r="B689" s="12">
        <v>44306</v>
      </c>
      <c r="C689" s="1" t="s">
        <v>39</v>
      </c>
      <c r="D689" s="1" t="s">
        <v>47</v>
      </c>
      <c r="E689" s="13">
        <v>2</v>
      </c>
      <c r="F689" s="11">
        <f>DAY(Tabela5[[#This Row],[Data]])</f>
        <v>20</v>
      </c>
      <c r="G6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90" spans="1:7">
      <c r="A690" s="11" t="s">
        <v>6</v>
      </c>
      <c r="B690" s="12">
        <v>44306</v>
      </c>
      <c r="C690" s="1" t="s">
        <v>39</v>
      </c>
      <c r="D690" s="1" t="s">
        <v>47</v>
      </c>
      <c r="E690" s="13">
        <v>2</v>
      </c>
      <c r="F690" s="11">
        <f>DAY(Tabela5[[#This Row],[Data]])</f>
        <v>20</v>
      </c>
      <c r="G6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91" spans="1:7">
      <c r="A691" s="11" t="s">
        <v>6</v>
      </c>
      <c r="B691" s="12">
        <v>44308</v>
      </c>
      <c r="C691" s="1" t="s">
        <v>39</v>
      </c>
      <c r="D691" s="1" t="s">
        <v>47</v>
      </c>
      <c r="E691" s="13">
        <v>2</v>
      </c>
      <c r="F691" s="11">
        <f>DAY(Tabela5[[#This Row],[Data]])</f>
        <v>22</v>
      </c>
      <c r="G6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92" spans="1:7">
      <c r="A692" s="11" t="s">
        <v>6</v>
      </c>
      <c r="B692" s="12">
        <v>44308</v>
      </c>
      <c r="C692" s="1" t="s">
        <v>39</v>
      </c>
      <c r="D692" s="1" t="s">
        <v>47</v>
      </c>
      <c r="E692" s="13">
        <v>2</v>
      </c>
      <c r="F692" s="11">
        <f>DAY(Tabela5[[#This Row],[Data]])</f>
        <v>22</v>
      </c>
      <c r="G6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93" spans="1:7">
      <c r="A693" s="11" t="s">
        <v>6</v>
      </c>
      <c r="B693" s="12">
        <v>44308</v>
      </c>
      <c r="C693" s="1" t="s">
        <v>39</v>
      </c>
      <c r="D693" s="1" t="s">
        <v>47</v>
      </c>
      <c r="E693" s="13">
        <v>2</v>
      </c>
      <c r="F693" s="11">
        <f>DAY(Tabela5[[#This Row],[Data]])</f>
        <v>22</v>
      </c>
      <c r="G6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94" spans="1:7">
      <c r="A694" s="11" t="s">
        <v>6</v>
      </c>
      <c r="B694" s="12">
        <v>44308</v>
      </c>
      <c r="C694" s="1" t="s">
        <v>39</v>
      </c>
      <c r="D694" s="1" t="s">
        <v>47</v>
      </c>
      <c r="E694" s="13">
        <v>2</v>
      </c>
      <c r="F694" s="11">
        <f>DAY(Tabela5[[#This Row],[Data]])</f>
        <v>22</v>
      </c>
      <c r="G6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695" spans="1:7">
      <c r="A695" s="11" t="s">
        <v>6</v>
      </c>
      <c r="B695" s="12">
        <v>44309</v>
      </c>
      <c r="C695" s="1" t="s">
        <v>39</v>
      </c>
      <c r="D695" s="1" t="s">
        <v>47</v>
      </c>
      <c r="E695" s="13">
        <v>2</v>
      </c>
      <c r="F695" s="11">
        <f>DAY(Tabela5[[#This Row],[Data]])</f>
        <v>23</v>
      </c>
      <c r="G6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96" spans="1:7">
      <c r="A696" s="11" t="s">
        <v>6</v>
      </c>
      <c r="B696" s="12">
        <v>44309</v>
      </c>
      <c r="C696" s="1" t="s">
        <v>39</v>
      </c>
      <c r="D696" s="1" t="s">
        <v>47</v>
      </c>
      <c r="E696" s="13">
        <v>2</v>
      </c>
      <c r="F696" s="11">
        <f>DAY(Tabela5[[#This Row],[Data]])</f>
        <v>23</v>
      </c>
      <c r="G6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697" spans="1:7">
      <c r="A697" s="11" t="s">
        <v>6</v>
      </c>
      <c r="B697" s="12">
        <v>44312</v>
      </c>
      <c r="C697" s="1" t="s">
        <v>39</v>
      </c>
      <c r="D697" s="1" t="s">
        <v>47</v>
      </c>
      <c r="E697" s="13">
        <v>1</v>
      </c>
      <c r="F697" s="11">
        <f>DAY(Tabela5[[#This Row],[Data]])</f>
        <v>26</v>
      </c>
      <c r="G6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698" spans="1:7">
      <c r="A698" s="11" t="s">
        <v>6</v>
      </c>
      <c r="B698" s="12">
        <v>44313</v>
      </c>
      <c r="C698" s="1" t="s">
        <v>39</v>
      </c>
      <c r="D698" s="1" t="s">
        <v>47</v>
      </c>
      <c r="E698" s="13">
        <v>1</v>
      </c>
      <c r="F698" s="11">
        <f>DAY(Tabela5[[#This Row],[Data]])</f>
        <v>27</v>
      </c>
      <c r="G6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699" spans="1:7">
      <c r="A699" s="11" t="s">
        <v>6</v>
      </c>
      <c r="B699" s="12">
        <v>44314</v>
      </c>
      <c r="C699" s="1" t="s">
        <v>39</v>
      </c>
      <c r="D699" s="1" t="s">
        <v>47</v>
      </c>
      <c r="E699" s="13">
        <v>2</v>
      </c>
      <c r="F699" s="11">
        <f>DAY(Tabela5[[#This Row],[Data]])</f>
        <v>28</v>
      </c>
      <c r="G6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700" spans="1:7">
      <c r="A700" s="11" t="s">
        <v>6</v>
      </c>
      <c r="B700" s="12">
        <v>44314</v>
      </c>
      <c r="C700" s="1" t="s">
        <v>39</v>
      </c>
      <c r="D700" s="1" t="s">
        <v>47</v>
      </c>
      <c r="E700" s="13">
        <v>1</v>
      </c>
      <c r="F700" s="11">
        <f>DAY(Tabela5[[#This Row],[Data]])</f>
        <v>28</v>
      </c>
      <c r="G7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701" spans="1:7">
      <c r="A701" s="11" t="s">
        <v>6</v>
      </c>
      <c r="B701" s="12">
        <v>44315</v>
      </c>
      <c r="C701" s="1" t="s">
        <v>39</v>
      </c>
      <c r="D701" s="1" t="s">
        <v>47</v>
      </c>
      <c r="E701" s="13">
        <v>2</v>
      </c>
      <c r="F701" s="11">
        <f>DAY(Tabela5[[#This Row],[Data]])</f>
        <v>29</v>
      </c>
      <c r="G7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02" spans="1:7">
      <c r="A702" s="11" t="s">
        <v>6</v>
      </c>
      <c r="B702" s="12">
        <v>44316</v>
      </c>
      <c r="C702" s="1" t="s">
        <v>39</v>
      </c>
      <c r="D702" s="1" t="s">
        <v>47</v>
      </c>
      <c r="E702" s="13">
        <v>2</v>
      </c>
      <c r="F702" s="11">
        <f>DAY(Tabela5[[#This Row],[Data]])</f>
        <v>30</v>
      </c>
      <c r="G7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03" spans="1:7">
      <c r="A703" s="11" t="s">
        <v>6</v>
      </c>
      <c r="B703" s="12">
        <v>44316</v>
      </c>
      <c r="C703" s="1" t="s">
        <v>39</v>
      </c>
      <c r="D703" s="1" t="s">
        <v>47</v>
      </c>
      <c r="E703" s="13">
        <v>1</v>
      </c>
      <c r="F703" s="11">
        <f>DAY(Tabela5[[#This Row],[Data]])</f>
        <v>30</v>
      </c>
      <c r="G7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04" spans="1:7">
      <c r="A704" s="11" t="s">
        <v>6</v>
      </c>
      <c r="B704" s="12">
        <v>44316</v>
      </c>
      <c r="C704" s="1" t="s">
        <v>39</v>
      </c>
      <c r="D704" s="1" t="s">
        <v>47</v>
      </c>
      <c r="E704" s="13">
        <v>1</v>
      </c>
      <c r="F704" s="11">
        <f>DAY(Tabela5[[#This Row],[Data]])</f>
        <v>30</v>
      </c>
      <c r="G7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05" spans="1:7">
      <c r="A705" s="11" t="s">
        <v>6</v>
      </c>
      <c r="B705" s="12">
        <v>44287</v>
      </c>
      <c r="C705" s="1" t="s">
        <v>27</v>
      </c>
      <c r="D705" s="1" t="s">
        <v>47</v>
      </c>
      <c r="E705" s="13">
        <v>1</v>
      </c>
      <c r="F705" s="11">
        <f>DAY(Tabela5[[#This Row],[Data]])</f>
        <v>1</v>
      </c>
      <c r="G7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06" spans="1:7">
      <c r="A706" s="11" t="s">
        <v>6</v>
      </c>
      <c r="B706" s="12">
        <v>44287</v>
      </c>
      <c r="C706" s="1" t="s">
        <v>27</v>
      </c>
      <c r="D706" s="1" t="s">
        <v>47</v>
      </c>
      <c r="E706" s="13">
        <v>1</v>
      </c>
      <c r="F706" s="11">
        <f>DAY(Tabela5[[#This Row],[Data]])</f>
        <v>1</v>
      </c>
      <c r="G7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07" spans="1:7">
      <c r="A707" s="11" t="s">
        <v>6</v>
      </c>
      <c r="B707" s="12">
        <v>44288</v>
      </c>
      <c r="C707" s="1" t="s">
        <v>27</v>
      </c>
      <c r="D707" s="1" t="s">
        <v>47</v>
      </c>
      <c r="E707" s="13">
        <v>1</v>
      </c>
      <c r="F707" s="11">
        <f>DAY(Tabela5[[#This Row],[Data]])</f>
        <v>2</v>
      </c>
      <c r="G7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08" spans="1:7">
      <c r="A708" s="11" t="s">
        <v>6</v>
      </c>
      <c r="B708" s="12">
        <v>44289</v>
      </c>
      <c r="C708" s="1" t="s">
        <v>27</v>
      </c>
      <c r="D708" s="1" t="s">
        <v>47</v>
      </c>
      <c r="E708" s="13">
        <v>2</v>
      </c>
      <c r="F708" s="11">
        <f>DAY(Tabela5[[#This Row],[Data]])</f>
        <v>3</v>
      </c>
      <c r="G7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09" spans="1:7">
      <c r="A709" s="11" t="s">
        <v>6</v>
      </c>
      <c r="B709" s="12">
        <v>44289</v>
      </c>
      <c r="C709" s="1" t="s">
        <v>27</v>
      </c>
      <c r="D709" s="1" t="s">
        <v>47</v>
      </c>
      <c r="E709" s="13">
        <v>1</v>
      </c>
      <c r="F709" s="11">
        <f>DAY(Tabela5[[#This Row],[Data]])</f>
        <v>3</v>
      </c>
      <c r="G7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10" spans="1:7">
      <c r="A710" s="11" t="s">
        <v>6</v>
      </c>
      <c r="B710" s="12">
        <v>44291</v>
      </c>
      <c r="C710" s="1" t="s">
        <v>27</v>
      </c>
      <c r="D710" s="1" t="s">
        <v>47</v>
      </c>
      <c r="E710" s="13">
        <v>1</v>
      </c>
      <c r="F710" s="11">
        <f>DAY(Tabela5[[#This Row],[Data]])</f>
        <v>5</v>
      </c>
      <c r="G7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711" spans="1:7">
      <c r="A711" s="11" t="s">
        <v>6</v>
      </c>
      <c r="B711" s="12">
        <v>44291</v>
      </c>
      <c r="C711" s="1" t="s">
        <v>27</v>
      </c>
      <c r="D711" s="1" t="s">
        <v>47</v>
      </c>
      <c r="E711" s="13">
        <v>1</v>
      </c>
      <c r="F711" s="11">
        <f>DAY(Tabela5[[#This Row],[Data]])</f>
        <v>5</v>
      </c>
      <c r="G7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712" spans="1:7">
      <c r="A712" s="11" t="s">
        <v>6</v>
      </c>
      <c r="B712" s="12">
        <v>44291</v>
      </c>
      <c r="C712" s="1" t="s">
        <v>27</v>
      </c>
      <c r="D712" s="1" t="s">
        <v>47</v>
      </c>
      <c r="E712" s="13">
        <v>1</v>
      </c>
      <c r="F712" s="11">
        <f>DAY(Tabela5[[#This Row],[Data]])</f>
        <v>5</v>
      </c>
      <c r="G7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713" spans="1:7">
      <c r="A713" s="11" t="s">
        <v>6</v>
      </c>
      <c r="B713" s="12">
        <v>44291</v>
      </c>
      <c r="C713" s="1" t="s">
        <v>27</v>
      </c>
      <c r="D713" s="1" t="s">
        <v>47</v>
      </c>
      <c r="E713" s="13">
        <v>1</v>
      </c>
      <c r="F713" s="11">
        <f>DAY(Tabela5[[#This Row],[Data]])</f>
        <v>5</v>
      </c>
      <c r="G7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714" spans="1:7">
      <c r="A714" s="11" t="s">
        <v>6</v>
      </c>
      <c r="B714" s="12">
        <v>44292</v>
      </c>
      <c r="C714" s="1" t="s">
        <v>27</v>
      </c>
      <c r="D714" s="1" t="s">
        <v>47</v>
      </c>
      <c r="E714" s="13">
        <v>1</v>
      </c>
      <c r="F714" s="11">
        <f>DAY(Tabela5[[#This Row],[Data]])</f>
        <v>6</v>
      </c>
      <c r="G7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15" spans="1:7">
      <c r="A715" s="11" t="s">
        <v>6</v>
      </c>
      <c r="B715" s="12">
        <v>44293</v>
      </c>
      <c r="C715" s="1" t="s">
        <v>27</v>
      </c>
      <c r="D715" s="1" t="s">
        <v>47</v>
      </c>
      <c r="E715" s="13">
        <v>2</v>
      </c>
      <c r="F715" s="11">
        <f>DAY(Tabela5[[#This Row],[Data]])</f>
        <v>7</v>
      </c>
      <c r="G7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716" spans="1:7">
      <c r="A716" s="11" t="s">
        <v>6</v>
      </c>
      <c r="B716" s="12">
        <v>44294</v>
      </c>
      <c r="C716" s="1" t="s">
        <v>27</v>
      </c>
      <c r="D716" s="1" t="s">
        <v>47</v>
      </c>
      <c r="E716" s="13">
        <v>1</v>
      </c>
      <c r="F716" s="11">
        <f>DAY(Tabela5[[#This Row],[Data]])</f>
        <v>8</v>
      </c>
      <c r="G7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17" spans="1:7">
      <c r="A717" s="11" t="s">
        <v>6</v>
      </c>
      <c r="B717" s="12">
        <v>44294</v>
      </c>
      <c r="C717" s="1" t="s">
        <v>27</v>
      </c>
      <c r="D717" s="1" t="s">
        <v>47</v>
      </c>
      <c r="E717" s="13">
        <v>1</v>
      </c>
      <c r="F717" s="11">
        <f>DAY(Tabela5[[#This Row],[Data]])</f>
        <v>8</v>
      </c>
      <c r="G7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18" spans="1:7">
      <c r="A718" s="11" t="s">
        <v>6</v>
      </c>
      <c r="B718" s="12">
        <v>44296</v>
      </c>
      <c r="C718" s="1" t="s">
        <v>27</v>
      </c>
      <c r="D718" s="1" t="s">
        <v>47</v>
      </c>
      <c r="E718" s="13">
        <v>2</v>
      </c>
      <c r="F718" s="11">
        <f>DAY(Tabela5[[#This Row],[Data]])</f>
        <v>10</v>
      </c>
      <c r="G7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19" spans="1:7">
      <c r="A719" s="11" t="s">
        <v>6</v>
      </c>
      <c r="B719" s="12">
        <v>44296</v>
      </c>
      <c r="C719" s="1" t="s">
        <v>27</v>
      </c>
      <c r="D719" s="1" t="s">
        <v>47</v>
      </c>
      <c r="E719" s="13">
        <v>1</v>
      </c>
      <c r="F719" s="11">
        <f>DAY(Tabela5[[#This Row],[Data]])</f>
        <v>10</v>
      </c>
      <c r="G7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20" spans="1:7">
      <c r="A720" s="11" t="s">
        <v>6</v>
      </c>
      <c r="B720" s="12">
        <v>44296</v>
      </c>
      <c r="C720" s="1" t="s">
        <v>27</v>
      </c>
      <c r="D720" s="1" t="s">
        <v>47</v>
      </c>
      <c r="E720" s="13">
        <v>1</v>
      </c>
      <c r="F720" s="11">
        <f>DAY(Tabela5[[#This Row],[Data]])</f>
        <v>10</v>
      </c>
      <c r="G7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21" spans="1:7">
      <c r="A721" s="11" t="s">
        <v>6</v>
      </c>
      <c r="B721" s="12">
        <v>44296</v>
      </c>
      <c r="C721" s="1" t="s">
        <v>27</v>
      </c>
      <c r="D721" s="1" t="s">
        <v>47</v>
      </c>
      <c r="E721" s="13">
        <v>1</v>
      </c>
      <c r="F721" s="11">
        <f>DAY(Tabela5[[#This Row],[Data]])</f>
        <v>10</v>
      </c>
      <c r="G7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22" spans="1:7">
      <c r="A722" s="11" t="s">
        <v>6</v>
      </c>
      <c r="B722" s="12">
        <v>44297</v>
      </c>
      <c r="C722" s="1" t="s">
        <v>27</v>
      </c>
      <c r="D722" s="1" t="s">
        <v>47</v>
      </c>
      <c r="E722" s="13">
        <v>2</v>
      </c>
      <c r="F722" s="11">
        <f>DAY(Tabela5[[#This Row],[Data]])</f>
        <v>11</v>
      </c>
      <c r="G7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23" spans="1:7">
      <c r="A723" s="11" t="s">
        <v>6</v>
      </c>
      <c r="B723" s="12">
        <v>44298</v>
      </c>
      <c r="C723" s="1" t="s">
        <v>27</v>
      </c>
      <c r="D723" s="1" t="s">
        <v>47</v>
      </c>
      <c r="E723" s="13">
        <v>1</v>
      </c>
      <c r="F723" s="11">
        <f>DAY(Tabela5[[#This Row],[Data]])</f>
        <v>12</v>
      </c>
      <c r="G7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724" spans="1:7">
      <c r="A724" s="11" t="s">
        <v>6</v>
      </c>
      <c r="B724" s="12">
        <v>44299</v>
      </c>
      <c r="C724" s="1" t="s">
        <v>27</v>
      </c>
      <c r="D724" s="1" t="s">
        <v>47</v>
      </c>
      <c r="E724" s="13">
        <v>1</v>
      </c>
      <c r="F724" s="11">
        <f>DAY(Tabela5[[#This Row],[Data]])</f>
        <v>13</v>
      </c>
      <c r="G7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25" spans="1:7">
      <c r="A725" s="11" t="s">
        <v>6</v>
      </c>
      <c r="B725" s="12">
        <v>44299</v>
      </c>
      <c r="C725" s="1" t="s">
        <v>27</v>
      </c>
      <c r="D725" s="1" t="s">
        <v>47</v>
      </c>
      <c r="E725" s="13">
        <v>1</v>
      </c>
      <c r="F725" s="11">
        <f>DAY(Tabela5[[#This Row],[Data]])</f>
        <v>13</v>
      </c>
      <c r="G7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26" spans="1:7">
      <c r="A726" s="11" t="s">
        <v>6</v>
      </c>
      <c r="B726" s="12">
        <v>44301</v>
      </c>
      <c r="C726" s="1" t="s">
        <v>27</v>
      </c>
      <c r="D726" s="1" t="s">
        <v>46</v>
      </c>
      <c r="E726" s="13">
        <v>2</v>
      </c>
      <c r="F726" s="11">
        <f>DAY(Tabela5[[#This Row],[Data]])</f>
        <v>15</v>
      </c>
      <c r="G7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27" spans="1:7">
      <c r="A727" s="11" t="s">
        <v>6</v>
      </c>
      <c r="B727" s="12">
        <v>44301</v>
      </c>
      <c r="C727" s="1" t="s">
        <v>27</v>
      </c>
      <c r="D727" s="1" t="s">
        <v>46</v>
      </c>
      <c r="E727" s="13">
        <v>2</v>
      </c>
      <c r="F727" s="11">
        <f>DAY(Tabela5[[#This Row],[Data]])</f>
        <v>15</v>
      </c>
      <c r="G7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28" spans="1:7">
      <c r="A728" s="11" t="s">
        <v>6</v>
      </c>
      <c r="B728" s="12">
        <v>44302</v>
      </c>
      <c r="C728" s="1" t="s">
        <v>27</v>
      </c>
      <c r="D728" s="1" t="s">
        <v>46</v>
      </c>
      <c r="E728" s="13">
        <v>2</v>
      </c>
      <c r="F728" s="11">
        <f>DAY(Tabela5[[#This Row],[Data]])</f>
        <v>16</v>
      </c>
      <c r="G7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29" spans="1:7">
      <c r="A729" s="11" t="s">
        <v>6</v>
      </c>
      <c r="B729" s="12">
        <v>44303</v>
      </c>
      <c r="C729" s="1" t="s">
        <v>27</v>
      </c>
      <c r="D729" s="1" t="s">
        <v>46</v>
      </c>
      <c r="E729" s="13">
        <v>1</v>
      </c>
      <c r="F729" s="11">
        <f>DAY(Tabela5[[#This Row],[Data]])</f>
        <v>17</v>
      </c>
      <c r="G7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30" spans="1:7">
      <c r="A730" s="11" t="s">
        <v>6</v>
      </c>
      <c r="B730" s="12">
        <v>44303</v>
      </c>
      <c r="C730" s="1" t="s">
        <v>27</v>
      </c>
      <c r="D730" s="1" t="s">
        <v>46</v>
      </c>
      <c r="E730" s="13">
        <v>1</v>
      </c>
      <c r="F730" s="11">
        <f>DAY(Tabela5[[#This Row],[Data]])</f>
        <v>17</v>
      </c>
      <c r="G7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31" spans="1:7">
      <c r="A731" s="11" t="s">
        <v>6</v>
      </c>
      <c r="B731" s="12">
        <v>44304</v>
      </c>
      <c r="C731" s="1" t="s">
        <v>27</v>
      </c>
      <c r="D731" s="1" t="s">
        <v>46</v>
      </c>
      <c r="E731" s="13">
        <v>2</v>
      </c>
      <c r="F731" s="11">
        <f>DAY(Tabela5[[#This Row],[Data]])</f>
        <v>18</v>
      </c>
      <c r="G7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32" spans="1:7">
      <c r="A732" s="11" t="s">
        <v>6</v>
      </c>
      <c r="B732" s="12">
        <v>44304</v>
      </c>
      <c r="C732" s="1" t="s">
        <v>27</v>
      </c>
      <c r="D732" s="1" t="s">
        <v>46</v>
      </c>
      <c r="E732" s="13">
        <v>1</v>
      </c>
      <c r="F732" s="11">
        <f>DAY(Tabela5[[#This Row],[Data]])</f>
        <v>18</v>
      </c>
      <c r="G7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33" spans="1:7">
      <c r="A733" s="11" t="s">
        <v>6</v>
      </c>
      <c r="B733" s="12">
        <v>44304</v>
      </c>
      <c r="C733" s="1" t="s">
        <v>27</v>
      </c>
      <c r="D733" s="1" t="s">
        <v>46</v>
      </c>
      <c r="E733" s="13">
        <v>2</v>
      </c>
      <c r="F733" s="11">
        <f>DAY(Tabela5[[#This Row],[Data]])</f>
        <v>18</v>
      </c>
      <c r="G7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34" spans="1:7">
      <c r="A734" s="11" t="s">
        <v>6</v>
      </c>
      <c r="B734" s="12">
        <v>44304</v>
      </c>
      <c r="C734" s="1" t="s">
        <v>27</v>
      </c>
      <c r="D734" s="1" t="s">
        <v>46</v>
      </c>
      <c r="E734" s="13">
        <v>2</v>
      </c>
      <c r="F734" s="11">
        <f>DAY(Tabela5[[#This Row],[Data]])</f>
        <v>18</v>
      </c>
      <c r="G7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35" spans="1:7">
      <c r="A735" s="11" t="s">
        <v>6</v>
      </c>
      <c r="B735" s="12">
        <v>44306</v>
      </c>
      <c r="C735" s="1" t="s">
        <v>27</v>
      </c>
      <c r="D735" s="1" t="s">
        <v>46</v>
      </c>
      <c r="E735" s="13">
        <v>1</v>
      </c>
      <c r="F735" s="11">
        <f>DAY(Tabela5[[#This Row],[Data]])</f>
        <v>20</v>
      </c>
      <c r="G7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36" spans="1:7">
      <c r="A736" s="11" t="s">
        <v>6</v>
      </c>
      <c r="B736" s="12">
        <v>44306</v>
      </c>
      <c r="C736" s="1" t="s">
        <v>27</v>
      </c>
      <c r="D736" s="1" t="s">
        <v>46</v>
      </c>
      <c r="E736" s="13">
        <v>1</v>
      </c>
      <c r="F736" s="11">
        <f>DAY(Tabela5[[#This Row],[Data]])</f>
        <v>20</v>
      </c>
      <c r="G7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37" spans="1:7">
      <c r="A737" s="11" t="s">
        <v>6</v>
      </c>
      <c r="B737" s="12">
        <v>44306</v>
      </c>
      <c r="C737" s="1" t="s">
        <v>27</v>
      </c>
      <c r="D737" s="1" t="s">
        <v>46</v>
      </c>
      <c r="E737" s="13">
        <v>1</v>
      </c>
      <c r="F737" s="11">
        <f>DAY(Tabela5[[#This Row],[Data]])</f>
        <v>20</v>
      </c>
      <c r="G7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38" spans="1:7">
      <c r="A738" s="11" t="s">
        <v>6</v>
      </c>
      <c r="B738" s="12">
        <v>44306</v>
      </c>
      <c r="C738" s="1" t="s">
        <v>27</v>
      </c>
      <c r="D738" s="1" t="s">
        <v>46</v>
      </c>
      <c r="E738" s="13">
        <v>2</v>
      </c>
      <c r="F738" s="11">
        <f>DAY(Tabela5[[#This Row],[Data]])</f>
        <v>20</v>
      </c>
      <c r="G7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39" spans="1:7">
      <c r="A739" s="11" t="s">
        <v>6</v>
      </c>
      <c r="B739" s="12">
        <v>44307</v>
      </c>
      <c r="C739" s="1" t="s">
        <v>27</v>
      </c>
      <c r="D739" s="1" t="s">
        <v>46</v>
      </c>
      <c r="E739" s="13">
        <v>1</v>
      </c>
      <c r="F739" s="11">
        <f>DAY(Tabela5[[#This Row],[Data]])</f>
        <v>21</v>
      </c>
      <c r="G7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740" spans="1:7">
      <c r="A740" s="11" t="s">
        <v>6</v>
      </c>
      <c r="B740" s="12">
        <v>44308</v>
      </c>
      <c r="C740" s="1" t="s">
        <v>27</v>
      </c>
      <c r="D740" s="1" t="s">
        <v>46</v>
      </c>
      <c r="E740" s="13">
        <v>2</v>
      </c>
      <c r="F740" s="11">
        <f>DAY(Tabela5[[#This Row],[Data]])</f>
        <v>22</v>
      </c>
      <c r="G7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41" spans="1:7">
      <c r="A741" s="11" t="s">
        <v>6</v>
      </c>
      <c r="B741" s="12">
        <v>44309</v>
      </c>
      <c r="C741" s="1" t="s">
        <v>27</v>
      </c>
      <c r="D741" s="1" t="s">
        <v>46</v>
      </c>
      <c r="E741" s="13">
        <v>2</v>
      </c>
      <c r="F741" s="11">
        <f>DAY(Tabela5[[#This Row],[Data]])</f>
        <v>23</v>
      </c>
      <c r="G7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42" spans="1:7">
      <c r="A742" s="11" t="s">
        <v>6</v>
      </c>
      <c r="B742" s="12">
        <v>44309</v>
      </c>
      <c r="C742" s="1" t="s">
        <v>27</v>
      </c>
      <c r="D742" s="1" t="s">
        <v>46</v>
      </c>
      <c r="E742" s="13">
        <v>1</v>
      </c>
      <c r="F742" s="11">
        <f>DAY(Tabela5[[#This Row],[Data]])</f>
        <v>23</v>
      </c>
      <c r="G7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43" spans="1:7">
      <c r="A743" s="11" t="s">
        <v>6</v>
      </c>
      <c r="B743" s="12">
        <v>44309</v>
      </c>
      <c r="C743" s="1" t="s">
        <v>27</v>
      </c>
      <c r="D743" s="1" t="s">
        <v>46</v>
      </c>
      <c r="E743" s="13">
        <v>1</v>
      </c>
      <c r="F743" s="11">
        <f>DAY(Tabela5[[#This Row],[Data]])</f>
        <v>23</v>
      </c>
      <c r="G7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44" spans="1:7">
      <c r="A744" s="11" t="s">
        <v>6</v>
      </c>
      <c r="B744" s="12">
        <v>44309</v>
      </c>
      <c r="C744" s="1" t="s">
        <v>27</v>
      </c>
      <c r="D744" s="1" t="s">
        <v>46</v>
      </c>
      <c r="E744" s="13">
        <v>1</v>
      </c>
      <c r="F744" s="11">
        <f>DAY(Tabela5[[#This Row],[Data]])</f>
        <v>23</v>
      </c>
      <c r="G7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45" spans="1:7">
      <c r="A745" s="11" t="s">
        <v>6</v>
      </c>
      <c r="B745" s="12">
        <v>44311</v>
      </c>
      <c r="C745" s="1" t="s">
        <v>27</v>
      </c>
      <c r="D745" s="1" t="s">
        <v>46</v>
      </c>
      <c r="E745" s="13">
        <v>1</v>
      </c>
      <c r="F745" s="11">
        <f>DAY(Tabela5[[#This Row],[Data]])</f>
        <v>25</v>
      </c>
      <c r="G7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46" spans="1:7">
      <c r="A746" s="11" t="s">
        <v>6</v>
      </c>
      <c r="B746" s="12">
        <v>44311</v>
      </c>
      <c r="C746" s="1" t="s">
        <v>27</v>
      </c>
      <c r="D746" s="1" t="s">
        <v>46</v>
      </c>
      <c r="E746" s="13">
        <v>1</v>
      </c>
      <c r="F746" s="11">
        <f>DAY(Tabela5[[#This Row],[Data]])</f>
        <v>25</v>
      </c>
      <c r="G7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47" spans="1:7">
      <c r="A747" s="11" t="s">
        <v>6</v>
      </c>
      <c r="B747" s="12">
        <v>44311</v>
      </c>
      <c r="C747" s="1" t="s">
        <v>27</v>
      </c>
      <c r="D747" s="1" t="s">
        <v>46</v>
      </c>
      <c r="E747" s="13">
        <v>1</v>
      </c>
      <c r="F747" s="11">
        <f>DAY(Tabela5[[#This Row],[Data]])</f>
        <v>25</v>
      </c>
      <c r="G7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48" spans="1:7">
      <c r="A748" s="11" t="s">
        <v>6</v>
      </c>
      <c r="B748" s="12">
        <v>44311</v>
      </c>
      <c r="C748" s="1" t="s">
        <v>27</v>
      </c>
      <c r="D748" s="1" t="s">
        <v>46</v>
      </c>
      <c r="E748" s="13">
        <v>1</v>
      </c>
      <c r="F748" s="11">
        <f>DAY(Tabela5[[#This Row],[Data]])</f>
        <v>25</v>
      </c>
      <c r="G7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49" spans="1:7">
      <c r="A749" s="11" t="s">
        <v>6</v>
      </c>
      <c r="B749" s="12">
        <v>44312</v>
      </c>
      <c r="C749" s="1" t="s">
        <v>27</v>
      </c>
      <c r="D749" s="1" t="s">
        <v>46</v>
      </c>
      <c r="E749" s="13">
        <v>2</v>
      </c>
      <c r="F749" s="11">
        <f>DAY(Tabela5[[#This Row],[Data]])</f>
        <v>26</v>
      </c>
      <c r="G7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750" spans="1:7">
      <c r="A750" s="11" t="s">
        <v>6</v>
      </c>
      <c r="B750" s="12">
        <v>44312</v>
      </c>
      <c r="C750" s="1" t="s">
        <v>27</v>
      </c>
      <c r="D750" s="1" t="s">
        <v>46</v>
      </c>
      <c r="E750" s="13">
        <v>2</v>
      </c>
      <c r="F750" s="11">
        <f>DAY(Tabela5[[#This Row],[Data]])</f>
        <v>26</v>
      </c>
      <c r="G7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751" spans="1:7">
      <c r="A751" s="11" t="s">
        <v>6</v>
      </c>
      <c r="B751" s="12">
        <v>44313</v>
      </c>
      <c r="C751" s="1" t="s">
        <v>27</v>
      </c>
      <c r="D751" s="1" t="s">
        <v>46</v>
      </c>
      <c r="E751" s="13">
        <v>1</v>
      </c>
      <c r="F751" s="11">
        <f>DAY(Tabela5[[#This Row],[Data]])</f>
        <v>27</v>
      </c>
      <c r="G7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52" spans="1:7">
      <c r="A752" s="11" t="s">
        <v>6</v>
      </c>
      <c r="B752" s="12">
        <v>44313</v>
      </c>
      <c r="C752" s="1" t="s">
        <v>27</v>
      </c>
      <c r="D752" s="1" t="s">
        <v>46</v>
      </c>
      <c r="E752" s="13">
        <v>2</v>
      </c>
      <c r="F752" s="11">
        <f>DAY(Tabela5[[#This Row],[Data]])</f>
        <v>27</v>
      </c>
      <c r="G7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53" spans="1:7">
      <c r="A753" s="11" t="s">
        <v>6</v>
      </c>
      <c r="B753" s="12">
        <v>44314</v>
      </c>
      <c r="C753" s="1" t="s">
        <v>27</v>
      </c>
      <c r="D753" s="1" t="s">
        <v>46</v>
      </c>
      <c r="E753" s="13">
        <v>2</v>
      </c>
      <c r="F753" s="11">
        <f>DAY(Tabela5[[#This Row],[Data]])</f>
        <v>28</v>
      </c>
      <c r="G7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754" spans="1:7">
      <c r="A754" s="11" t="s">
        <v>6</v>
      </c>
      <c r="B754" s="12">
        <v>44314</v>
      </c>
      <c r="C754" s="1" t="s">
        <v>27</v>
      </c>
      <c r="D754" s="1" t="s">
        <v>46</v>
      </c>
      <c r="E754" s="13">
        <v>1</v>
      </c>
      <c r="F754" s="11">
        <f>DAY(Tabela5[[#This Row],[Data]])</f>
        <v>28</v>
      </c>
      <c r="G7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755" spans="1:7">
      <c r="A755" s="11" t="s">
        <v>6</v>
      </c>
      <c r="B755" s="12">
        <v>44316</v>
      </c>
      <c r="C755" s="1" t="s">
        <v>27</v>
      </c>
      <c r="D755" s="1" t="s">
        <v>46</v>
      </c>
      <c r="E755" s="13">
        <v>1</v>
      </c>
      <c r="F755" s="11">
        <f>DAY(Tabela5[[#This Row],[Data]])</f>
        <v>30</v>
      </c>
      <c r="G7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56" spans="1:7">
      <c r="A756" s="11" t="s">
        <v>6</v>
      </c>
      <c r="B756" s="12">
        <v>44316</v>
      </c>
      <c r="C756" s="1" t="s">
        <v>27</v>
      </c>
      <c r="D756" s="1" t="s">
        <v>46</v>
      </c>
      <c r="E756" s="13">
        <v>2</v>
      </c>
      <c r="F756" s="11">
        <f>DAY(Tabela5[[#This Row],[Data]])</f>
        <v>30</v>
      </c>
      <c r="G7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57" spans="1:7">
      <c r="A757" s="11" t="s">
        <v>6</v>
      </c>
      <c r="B757" s="12">
        <v>44316</v>
      </c>
      <c r="C757" s="1" t="s">
        <v>27</v>
      </c>
      <c r="D757" s="1" t="s">
        <v>46</v>
      </c>
      <c r="E757" s="13">
        <v>1</v>
      </c>
      <c r="F757" s="11">
        <f>DAY(Tabela5[[#This Row],[Data]])</f>
        <v>30</v>
      </c>
      <c r="G7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58" spans="1:7">
      <c r="A758" s="11" t="s">
        <v>6</v>
      </c>
      <c r="B758" s="12">
        <v>44316</v>
      </c>
      <c r="C758" s="1" t="s">
        <v>27</v>
      </c>
      <c r="D758" s="1" t="s">
        <v>46</v>
      </c>
      <c r="E758" s="13">
        <v>1</v>
      </c>
      <c r="F758" s="11">
        <f>DAY(Tabela5[[#This Row],[Data]])</f>
        <v>30</v>
      </c>
      <c r="G7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59" spans="1:7">
      <c r="A759" s="11" t="s">
        <v>6</v>
      </c>
      <c r="B759" s="12">
        <v>44316</v>
      </c>
      <c r="C759" s="1" t="s">
        <v>27</v>
      </c>
      <c r="D759" s="1" t="s">
        <v>46</v>
      </c>
      <c r="E759" s="13">
        <v>1</v>
      </c>
      <c r="F759" s="11">
        <f>DAY(Tabela5[[#This Row],[Data]])</f>
        <v>30</v>
      </c>
      <c r="G7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60" spans="1:7">
      <c r="A760" s="11" t="s">
        <v>6</v>
      </c>
      <c r="B760" s="12">
        <v>44287</v>
      </c>
      <c r="C760" s="1" t="s">
        <v>28</v>
      </c>
      <c r="D760" s="1" t="s">
        <v>46</v>
      </c>
      <c r="E760" s="13">
        <v>2</v>
      </c>
      <c r="F760" s="11">
        <f>DAY(Tabela5[[#This Row],[Data]])</f>
        <v>1</v>
      </c>
      <c r="G7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61" spans="1:7">
      <c r="A761" s="11" t="s">
        <v>6</v>
      </c>
      <c r="B761" s="12">
        <v>44287</v>
      </c>
      <c r="C761" s="1" t="s">
        <v>28</v>
      </c>
      <c r="D761" s="1" t="s">
        <v>46</v>
      </c>
      <c r="E761" s="13">
        <v>2</v>
      </c>
      <c r="F761" s="11">
        <f>DAY(Tabela5[[#This Row],[Data]])</f>
        <v>1</v>
      </c>
      <c r="G7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62" spans="1:7">
      <c r="A762" s="11" t="s">
        <v>6</v>
      </c>
      <c r="B762" s="12">
        <v>44287</v>
      </c>
      <c r="C762" s="1" t="s">
        <v>28</v>
      </c>
      <c r="D762" s="1" t="s">
        <v>46</v>
      </c>
      <c r="E762" s="13">
        <v>1</v>
      </c>
      <c r="F762" s="11">
        <f>DAY(Tabela5[[#This Row],[Data]])</f>
        <v>1</v>
      </c>
      <c r="G7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63" spans="1:7">
      <c r="A763" s="11" t="s">
        <v>6</v>
      </c>
      <c r="B763" s="12">
        <v>44287</v>
      </c>
      <c r="C763" s="1" t="s">
        <v>28</v>
      </c>
      <c r="D763" s="1" t="s">
        <v>46</v>
      </c>
      <c r="E763" s="13">
        <v>1</v>
      </c>
      <c r="F763" s="11">
        <f>DAY(Tabela5[[#This Row],[Data]])</f>
        <v>1</v>
      </c>
      <c r="G7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64" spans="1:7">
      <c r="A764" s="11" t="s">
        <v>6</v>
      </c>
      <c r="B764" s="12">
        <v>44288</v>
      </c>
      <c r="C764" s="1" t="s">
        <v>28</v>
      </c>
      <c r="D764" s="1" t="s">
        <v>46</v>
      </c>
      <c r="E764" s="13">
        <v>1</v>
      </c>
      <c r="F764" s="11">
        <f>DAY(Tabela5[[#This Row],[Data]])</f>
        <v>2</v>
      </c>
      <c r="G7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65" spans="1:7">
      <c r="A765" s="11" t="s">
        <v>6</v>
      </c>
      <c r="B765" s="12">
        <v>44288</v>
      </c>
      <c r="C765" s="1" t="s">
        <v>28</v>
      </c>
      <c r="D765" s="1" t="s">
        <v>46</v>
      </c>
      <c r="E765" s="13">
        <v>1</v>
      </c>
      <c r="F765" s="11">
        <f>DAY(Tabela5[[#This Row],[Data]])</f>
        <v>2</v>
      </c>
      <c r="G7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66" spans="1:7">
      <c r="A766" s="11" t="s">
        <v>6</v>
      </c>
      <c r="B766" s="12">
        <v>44292</v>
      </c>
      <c r="C766" s="1" t="s">
        <v>28</v>
      </c>
      <c r="D766" s="1" t="s">
        <v>46</v>
      </c>
      <c r="E766" s="13">
        <v>1</v>
      </c>
      <c r="F766" s="11">
        <f>DAY(Tabela5[[#This Row],[Data]])</f>
        <v>6</v>
      </c>
      <c r="G7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67" spans="1:7">
      <c r="A767" s="11" t="s">
        <v>6</v>
      </c>
      <c r="B767" s="12">
        <v>44293</v>
      </c>
      <c r="C767" s="1" t="s">
        <v>28</v>
      </c>
      <c r="D767" s="1" t="s">
        <v>46</v>
      </c>
      <c r="E767" s="13">
        <v>2</v>
      </c>
      <c r="F767" s="11">
        <f>DAY(Tabela5[[#This Row],[Data]])</f>
        <v>7</v>
      </c>
      <c r="G7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768" spans="1:7">
      <c r="A768" s="11" t="s">
        <v>6</v>
      </c>
      <c r="B768" s="12">
        <v>44294</v>
      </c>
      <c r="C768" s="1" t="s">
        <v>28</v>
      </c>
      <c r="D768" s="1" t="s">
        <v>46</v>
      </c>
      <c r="E768" s="13">
        <v>1</v>
      </c>
      <c r="F768" s="11">
        <f>DAY(Tabela5[[#This Row],[Data]])</f>
        <v>8</v>
      </c>
      <c r="G7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69" spans="1:7">
      <c r="A769" s="11" t="s">
        <v>6</v>
      </c>
      <c r="B769" s="12">
        <v>44294</v>
      </c>
      <c r="C769" s="1" t="s">
        <v>28</v>
      </c>
      <c r="D769" s="1" t="s">
        <v>46</v>
      </c>
      <c r="E769" s="13">
        <v>2</v>
      </c>
      <c r="F769" s="11">
        <f>DAY(Tabela5[[#This Row],[Data]])</f>
        <v>8</v>
      </c>
      <c r="G7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70" spans="1:7">
      <c r="A770" s="11" t="s">
        <v>6</v>
      </c>
      <c r="B770" s="12">
        <v>44294</v>
      </c>
      <c r="C770" s="1" t="s">
        <v>28</v>
      </c>
      <c r="D770" s="1" t="s">
        <v>46</v>
      </c>
      <c r="E770" s="13">
        <v>2</v>
      </c>
      <c r="F770" s="11">
        <f>DAY(Tabela5[[#This Row],[Data]])</f>
        <v>8</v>
      </c>
      <c r="G7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71" spans="1:7">
      <c r="A771" s="11" t="s">
        <v>6</v>
      </c>
      <c r="B771" s="12">
        <v>44295</v>
      </c>
      <c r="C771" s="1" t="s">
        <v>28</v>
      </c>
      <c r="D771" s="1" t="s">
        <v>46</v>
      </c>
      <c r="E771" s="13">
        <v>1</v>
      </c>
      <c r="F771" s="11">
        <f>DAY(Tabela5[[#This Row],[Data]])</f>
        <v>9</v>
      </c>
      <c r="G7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72" spans="1:7">
      <c r="A772" s="11" t="s">
        <v>6</v>
      </c>
      <c r="B772" s="12">
        <v>44295</v>
      </c>
      <c r="C772" s="1" t="s">
        <v>28</v>
      </c>
      <c r="D772" s="1" t="s">
        <v>46</v>
      </c>
      <c r="E772" s="13">
        <v>2</v>
      </c>
      <c r="F772" s="11">
        <f>DAY(Tabela5[[#This Row],[Data]])</f>
        <v>9</v>
      </c>
      <c r="G7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73" spans="1:7">
      <c r="A773" s="11" t="s">
        <v>6</v>
      </c>
      <c r="B773" s="12">
        <v>44296</v>
      </c>
      <c r="C773" s="1" t="s">
        <v>28</v>
      </c>
      <c r="D773" s="1" t="s">
        <v>46</v>
      </c>
      <c r="E773" s="13">
        <v>1</v>
      </c>
      <c r="F773" s="11">
        <f>DAY(Tabela5[[#This Row],[Data]])</f>
        <v>10</v>
      </c>
      <c r="G7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74" spans="1:7">
      <c r="A774" s="11" t="s">
        <v>6</v>
      </c>
      <c r="B774" s="12">
        <v>44296</v>
      </c>
      <c r="C774" s="1" t="s">
        <v>28</v>
      </c>
      <c r="D774" s="1" t="s">
        <v>46</v>
      </c>
      <c r="E774" s="13">
        <v>2</v>
      </c>
      <c r="F774" s="11">
        <f>DAY(Tabela5[[#This Row],[Data]])</f>
        <v>10</v>
      </c>
      <c r="G7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75" spans="1:7">
      <c r="A775" s="11" t="s">
        <v>6</v>
      </c>
      <c r="B775" s="12">
        <v>44296</v>
      </c>
      <c r="C775" s="1" t="s">
        <v>28</v>
      </c>
      <c r="D775" s="1" t="s">
        <v>46</v>
      </c>
      <c r="E775" s="13">
        <v>2</v>
      </c>
      <c r="F775" s="11">
        <f>DAY(Tabela5[[#This Row],[Data]])</f>
        <v>10</v>
      </c>
      <c r="G7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76" spans="1:7">
      <c r="A776" s="11" t="s">
        <v>6</v>
      </c>
      <c r="B776" s="12">
        <v>44296</v>
      </c>
      <c r="C776" s="1" t="s">
        <v>28</v>
      </c>
      <c r="D776" s="1" t="s">
        <v>46</v>
      </c>
      <c r="E776" s="13">
        <v>1</v>
      </c>
      <c r="F776" s="11">
        <f>DAY(Tabela5[[#This Row],[Data]])</f>
        <v>10</v>
      </c>
      <c r="G7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77" spans="1:7">
      <c r="A777" s="11" t="s">
        <v>6</v>
      </c>
      <c r="B777" s="12">
        <v>44297</v>
      </c>
      <c r="C777" s="1" t="s">
        <v>28</v>
      </c>
      <c r="D777" s="1" t="s">
        <v>46</v>
      </c>
      <c r="E777" s="13">
        <v>1</v>
      </c>
      <c r="F777" s="11">
        <f>DAY(Tabela5[[#This Row],[Data]])</f>
        <v>11</v>
      </c>
      <c r="G7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78" spans="1:7">
      <c r="A778" s="11" t="s">
        <v>6</v>
      </c>
      <c r="B778" s="12">
        <v>44297</v>
      </c>
      <c r="C778" s="1" t="s">
        <v>28</v>
      </c>
      <c r="D778" s="1" t="s">
        <v>46</v>
      </c>
      <c r="E778" s="13">
        <v>1</v>
      </c>
      <c r="F778" s="11">
        <f>DAY(Tabela5[[#This Row],[Data]])</f>
        <v>11</v>
      </c>
      <c r="G7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79" spans="1:7">
      <c r="A779" s="11" t="s">
        <v>6</v>
      </c>
      <c r="B779" s="12">
        <v>44297</v>
      </c>
      <c r="C779" s="1" t="s">
        <v>28</v>
      </c>
      <c r="D779" s="1" t="s">
        <v>46</v>
      </c>
      <c r="E779" s="13">
        <v>2</v>
      </c>
      <c r="F779" s="11">
        <f>DAY(Tabela5[[#This Row],[Data]])</f>
        <v>11</v>
      </c>
      <c r="G7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80" spans="1:7">
      <c r="A780" s="11" t="s">
        <v>6</v>
      </c>
      <c r="B780" s="12">
        <v>44301</v>
      </c>
      <c r="C780" s="1" t="s">
        <v>28</v>
      </c>
      <c r="D780" s="1" t="s">
        <v>46</v>
      </c>
      <c r="E780" s="13">
        <v>2</v>
      </c>
      <c r="F780" s="11">
        <f>DAY(Tabela5[[#This Row],[Data]])</f>
        <v>15</v>
      </c>
      <c r="G7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81" spans="1:7">
      <c r="A781" s="11" t="s">
        <v>6</v>
      </c>
      <c r="B781" s="12">
        <v>44301</v>
      </c>
      <c r="C781" s="1" t="s">
        <v>28</v>
      </c>
      <c r="D781" s="1" t="s">
        <v>46</v>
      </c>
      <c r="E781" s="13">
        <v>2</v>
      </c>
      <c r="F781" s="11">
        <f>DAY(Tabela5[[#This Row],[Data]])</f>
        <v>15</v>
      </c>
      <c r="G7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782" spans="1:7">
      <c r="A782" s="11" t="s">
        <v>6</v>
      </c>
      <c r="B782" s="12">
        <v>44302</v>
      </c>
      <c r="C782" s="1" t="s">
        <v>28</v>
      </c>
      <c r="D782" s="1" t="s">
        <v>46</v>
      </c>
      <c r="E782" s="13">
        <v>2</v>
      </c>
      <c r="F782" s="11">
        <f>DAY(Tabela5[[#This Row],[Data]])</f>
        <v>16</v>
      </c>
      <c r="G7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83" spans="1:7">
      <c r="A783" s="11" t="s">
        <v>6</v>
      </c>
      <c r="B783" s="12">
        <v>44302</v>
      </c>
      <c r="C783" s="1" t="s">
        <v>28</v>
      </c>
      <c r="D783" s="1" t="s">
        <v>46</v>
      </c>
      <c r="E783" s="13">
        <v>1</v>
      </c>
      <c r="F783" s="11">
        <f>DAY(Tabela5[[#This Row],[Data]])</f>
        <v>16</v>
      </c>
      <c r="G7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784" spans="1:7">
      <c r="A784" s="11" t="s">
        <v>6</v>
      </c>
      <c r="B784" s="12">
        <v>44303</v>
      </c>
      <c r="C784" s="1" t="s">
        <v>28</v>
      </c>
      <c r="D784" s="1" t="s">
        <v>46</v>
      </c>
      <c r="E784" s="13">
        <v>1</v>
      </c>
      <c r="F784" s="11">
        <f>DAY(Tabela5[[#This Row],[Data]])</f>
        <v>17</v>
      </c>
      <c r="G7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85" spans="1:7">
      <c r="A785" s="11" t="s">
        <v>6</v>
      </c>
      <c r="B785" s="12">
        <v>44303</v>
      </c>
      <c r="C785" s="1" t="s">
        <v>28</v>
      </c>
      <c r="D785" s="1" t="s">
        <v>46</v>
      </c>
      <c r="E785" s="13">
        <v>1</v>
      </c>
      <c r="F785" s="11">
        <f>DAY(Tabela5[[#This Row],[Data]])</f>
        <v>17</v>
      </c>
      <c r="G7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86" spans="1:7">
      <c r="A786" s="11" t="s">
        <v>6</v>
      </c>
      <c r="B786" s="12">
        <v>44303</v>
      </c>
      <c r="C786" s="1" t="s">
        <v>28</v>
      </c>
      <c r="D786" s="1" t="s">
        <v>46</v>
      </c>
      <c r="E786" s="13">
        <v>1</v>
      </c>
      <c r="F786" s="11">
        <f>DAY(Tabela5[[#This Row],[Data]])</f>
        <v>17</v>
      </c>
      <c r="G7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87" spans="1:7">
      <c r="A787" s="11" t="s">
        <v>6</v>
      </c>
      <c r="B787" s="12">
        <v>44304</v>
      </c>
      <c r="C787" s="1" t="s">
        <v>28</v>
      </c>
      <c r="D787" s="1" t="s">
        <v>46</v>
      </c>
      <c r="E787" s="13">
        <v>2</v>
      </c>
      <c r="F787" s="11">
        <f>DAY(Tabela5[[#This Row],[Data]])</f>
        <v>18</v>
      </c>
      <c r="G7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88" spans="1:7">
      <c r="A788" s="11" t="s">
        <v>6</v>
      </c>
      <c r="B788" s="12">
        <v>44304</v>
      </c>
      <c r="C788" s="1" t="s">
        <v>28</v>
      </c>
      <c r="D788" s="1" t="s">
        <v>46</v>
      </c>
      <c r="E788" s="13">
        <v>2</v>
      </c>
      <c r="F788" s="11">
        <f>DAY(Tabela5[[#This Row],[Data]])</f>
        <v>18</v>
      </c>
      <c r="G7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89" spans="1:7">
      <c r="A789" s="11" t="s">
        <v>6</v>
      </c>
      <c r="B789" s="12">
        <v>44304</v>
      </c>
      <c r="C789" s="1" t="s">
        <v>28</v>
      </c>
      <c r="D789" s="1" t="s">
        <v>46</v>
      </c>
      <c r="E789" s="13">
        <v>2</v>
      </c>
      <c r="F789" s="11">
        <f>DAY(Tabela5[[#This Row],[Data]])</f>
        <v>18</v>
      </c>
      <c r="G7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90" spans="1:7">
      <c r="A790" s="11" t="s">
        <v>6</v>
      </c>
      <c r="B790" s="12">
        <v>44305</v>
      </c>
      <c r="C790" s="1" t="s">
        <v>28</v>
      </c>
      <c r="D790" s="1" t="s">
        <v>46</v>
      </c>
      <c r="E790" s="13">
        <v>2</v>
      </c>
      <c r="F790" s="11">
        <f>DAY(Tabela5[[#This Row],[Data]])</f>
        <v>19</v>
      </c>
      <c r="G7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791" spans="1:7">
      <c r="A791" s="11" t="s">
        <v>6</v>
      </c>
      <c r="B791" s="12">
        <v>44305</v>
      </c>
      <c r="C791" s="1" t="s">
        <v>28</v>
      </c>
      <c r="D791" s="1" t="s">
        <v>46</v>
      </c>
      <c r="E791" s="13">
        <v>1</v>
      </c>
      <c r="F791" s="11">
        <f>DAY(Tabela5[[#This Row],[Data]])</f>
        <v>19</v>
      </c>
      <c r="G7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792" spans="1:7">
      <c r="A792" s="11" t="s">
        <v>6</v>
      </c>
      <c r="B792" s="12">
        <v>44306</v>
      </c>
      <c r="C792" s="1" t="s">
        <v>28</v>
      </c>
      <c r="D792" s="1" t="s">
        <v>46</v>
      </c>
      <c r="E792" s="13">
        <v>1</v>
      </c>
      <c r="F792" s="11">
        <f>DAY(Tabela5[[#This Row],[Data]])</f>
        <v>20</v>
      </c>
      <c r="G7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93" spans="1:7">
      <c r="A793" s="11" t="s">
        <v>6</v>
      </c>
      <c r="B793" s="12">
        <v>44310</v>
      </c>
      <c r="C793" s="1" t="s">
        <v>28</v>
      </c>
      <c r="D793" s="1" t="s">
        <v>46</v>
      </c>
      <c r="E793" s="13">
        <v>1</v>
      </c>
      <c r="F793" s="11">
        <f>DAY(Tabela5[[#This Row],[Data]])</f>
        <v>24</v>
      </c>
      <c r="G7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94" spans="1:7">
      <c r="A794" s="11" t="s">
        <v>6</v>
      </c>
      <c r="B794" s="12">
        <v>44310</v>
      </c>
      <c r="C794" s="1" t="s">
        <v>28</v>
      </c>
      <c r="D794" s="1" t="s">
        <v>46</v>
      </c>
      <c r="E794" s="13">
        <v>2</v>
      </c>
      <c r="F794" s="11">
        <f>DAY(Tabela5[[#This Row],[Data]])</f>
        <v>24</v>
      </c>
      <c r="G7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95" spans="1:7">
      <c r="A795" s="11" t="s">
        <v>6</v>
      </c>
      <c r="B795" s="12">
        <v>44311</v>
      </c>
      <c r="C795" s="1" t="s">
        <v>28</v>
      </c>
      <c r="D795" s="1" t="s">
        <v>46</v>
      </c>
      <c r="E795" s="13">
        <v>1</v>
      </c>
      <c r="F795" s="11">
        <f>DAY(Tabela5[[#This Row],[Data]])</f>
        <v>25</v>
      </c>
      <c r="G7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96" spans="1:7">
      <c r="A796" s="11" t="s">
        <v>6</v>
      </c>
      <c r="B796" s="12">
        <v>44311</v>
      </c>
      <c r="C796" s="1" t="s">
        <v>28</v>
      </c>
      <c r="D796" s="1" t="s">
        <v>46</v>
      </c>
      <c r="E796" s="13">
        <v>1</v>
      </c>
      <c r="F796" s="11">
        <f>DAY(Tabela5[[#This Row],[Data]])</f>
        <v>25</v>
      </c>
      <c r="G7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797" spans="1:7">
      <c r="A797" s="11" t="s">
        <v>6</v>
      </c>
      <c r="B797" s="12">
        <v>44312</v>
      </c>
      <c r="C797" s="1" t="s">
        <v>28</v>
      </c>
      <c r="D797" s="1" t="s">
        <v>46</v>
      </c>
      <c r="E797" s="13">
        <v>1</v>
      </c>
      <c r="F797" s="11">
        <f>DAY(Tabela5[[#This Row],[Data]])</f>
        <v>26</v>
      </c>
      <c r="G7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798" spans="1:7">
      <c r="A798" s="11" t="s">
        <v>6</v>
      </c>
      <c r="B798" s="12">
        <v>44313</v>
      </c>
      <c r="C798" s="1" t="s">
        <v>28</v>
      </c>
      <c r="D798" s="1" t="s">
        <v>46</v>
      </c>
      <c r="E798" s="13">
        <v>1</v>
      </c>
      <c r="F798" s="11">
        <f>DAY(Tabela5[[#This Row],[Data]])</f>
        <v>27</v>
      </c>
      <c r="G7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799" spans="1:7">
      <c r="A799" s="11" t="s">
        <v>6</v>
      </c>
      <c r="B799" s="12">
        <v>44314</v>
      </c>
      <c r="C799" s="1" t="s">
        <v>28</v>
      </c>
      <c r="D799" s="1" t="s">
        <v>46</v>
      </c>
      <c r="E799" s="13">
        <v>1</v>
      </c>
      <c r="F799" s="11">
        <f>DAY(Tabela5[[#This Row],[Data]])</f>
        <v>28</v>
      </c>
      <c r="G7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00" spans="1:7">
      <c r="A800" s="11" t="s">
        <v>6</v>
      </c>
      <c r="B800" s="12">
        <v>44314</v>
      </c>
      <c r="C800" s="1" t="s">
        <v>28</v>
      </c>
      <c r="D800" s="1" t="s">
        <v>46</v>
      </c>
      <c r="E800" s="13">
        <v>1</v>
      </c>
      <c r="F800" s="11">
        <f>DAY(Tabela5[[#This Row],[Data]])</f>
        <v>28</v>
      </c>
      <c r="G8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01" spans="1:7">
      <c r="A801" s="11" t="s">
        <v>6</v>
      </c>
      <c r="B801" s="12">
        <v>44315</v>
      </c>
      <c r="C801" s="1" t="s">
        <v>28</v>
      </c>
      <c r="D801" s="1" t="s">
        <v>46</v>
      </c>
      <c r="E801" s="13">
        <v>1</v>
      </c>
      <c r="F801" s="11">
        <f>DAY(Tabela5[[#This Row],[Data]])</f>
        <v>29</v>
      </c>
      <c r="G8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02" spans="1:7">
      <c r="A802" s="11" t="s">
        <v>6</v>
      </c>
      <c r="B802" s="12">
        <v>44316</v>
      </c>
      <c r="C802" s="1" t="s">
        <v>28</v>
      </c>
      <c r="D802" s="1" t="s">
        <v>46</v>
      </c>
      <c r="E802" s="13">
        <v>2</v>
      </c>
      <c r="F802" s="11">
        <f>DAY(Tabela5[[#This Row],[Data]])</f>
        <v>30</v>
      </c>
      <c r="G8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03" spans="1:7">
      <c r="A803" s="11" t="s">
        <v>6</v>
      </c>
      <c r="B803" s="12">
        <v>44287</v>
      </c>
      <c r="C803" s="1" t="s">
        <v>40</v>
      </c>
      <c r="D803" s="1" t="s">
        <v>46</v>
      </c>
      <c r="E803" s="13">
        <v>1</v>
      </c>
      <c r="F803" s="11">
        <f>DAY(Tabela5[[#This Row],[Data]])</f>
        <v>1</v>
      </c>
      <c r="G8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04" spans="1:7">
      <c r="A804" s="11" t="s">
        <v>6</v>
      </c>
      <c r="B804" s="12">
        <v>44291</v>
      </c>
      <c r="C804" s="1" t="s">
        <v>40</v>
      </c>
      <c r="D804" s="1" t="s">
        <v>46</v>
      </c>
      <c r="E804" s="13">
        <v>2</v>
      </c>
      <c r="F804" s="11">
        <f>DAY(Tabela5[[#This Row],[Data]])</f>
        <v>5</v>
      </c>
      <c r="G8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05" spans="1:7">
      <c r="A805" s="11" t="s">
        <v>6</v>
      </c>
      <c r="B805" s="12">
        <v>44292</v>
      </c>
      <c r="C805" s="1" t="s">
        <v>40</v>
      </c>
      <c r="D805" s="1" t="s">
        <v>46</v>
      </c>
      <c r="E805" s="13">
        <v>2</v>
      </c>
      <c r="F805" s="11">
        <f>DAY(Tabela5[[#This Row],[Data]])</f>
        <v>6</v>
      </c>
      <c r="G8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06" spans="1:7">
      <c r="A806" s="11" t="s">
        <v>6</v>
      </c>
      <c r="B806" s="12">
        <v>44292</v>
      </c>
      <c r="C806" s="1" t="s">
        <v>40</v>
      </c>
      <c r="D806" s="1" t="s">
        <v>46</v>
      </c>
      <c r="E806" s="13">
        <v>1</v>
      </c>
      <c r="F806" s="11">
        <f>DAY(Tabela5[[#This Row],[Data]])</f>
        <v>6</v>
      </c>
      <c r="G8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07" spans="1:7">
      <c r="A807" s="11" t="s">
        <v>6</v>
      </c>
      <c r="B807" s="12">
        <v>44293</v>
      </c>
      <c r="C807" s="1" t="s">
        <v>40</v>
      </c>
      <c r="D807" s="1" t="s">
        <v>46</v>
      </c>
      <c r="E807" s="13">
        <v>1</v>
      </c>
      <c r="F807" s="11">
        <f>DAY(Tabela5[[#This Row],[Data]])</f>
        <v>7</v>
      </c>
      <c r="G8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08" spans="1:7">
      <c r="A808" s="11" t="s">
        <v>6</v>
      </c>
      <c r="B808" s="12">
        <v>44293</v>
      </c>
      <c r="C808" s="1" t="s">
        <v>40</v>
      </c>
      <c r="D808" s="1" t="s">
        <v>46</v>
      </c>
      <c r="E808" s="13">
        <v>1</v>
      </c>
      <c r="F808" s="11">
        <f>DAY(Tabela5[[#This Row],[Data]])</f>
        <v>7</v>
      </c>
      <c r="G8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09" spans="1:7">
      <c r="A809" s="11" t="s">
        <v>6</v>
      </c>
      <c r="B809" s="12">
        <v>44294</v>
      </c>
      <c r="C809" s="1" t="s">
        <v>40</v>
      </c>
      <c r="D809" s="1" t="s">
        <v>46</v>
      </c>
      <c r="E809" s="13">
        <v>2</v>
      </c>
      <c r="F809" s="11">
        <f>DAY(Tabela5[[#This Row],[Data]])</f>
        <v>8</v>
      </c>
      <c r="G8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10" spans="1:7">
      <c r="A810" s="11" t="s">
        <v>6</v>
      </c>
      <c r="B810" s="12">
        <v>44294</v>
      </c>
      <c r="C810" s="1" t="s">
        <v>40</v>
      </c>
      <c r="D810" s="1" t="s">
        <v>46</v>
      </c>
      <c r="E810" s="13">
        <v>2</v>
      </c>
      <c r="F810" s="11">
        <f>DAY(Tabela5[[#This Row],[Data]])</f>
        <v>8</v>
      </c>
      <c r="G8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11" spans="1:7">
      <c r="A811" s="11" t="s">
        <v>6</v>
      </c>
      <c r="B811" s="12">
        <v>44295</v>
      </c>
      <c r="C811" s="1" t="s">
        <v>40</v>
      </c>
      <c r="D811" s="1" t="s">
        <v>46</v>
      </c>
      <c r="E811" s="13">
        <v>2</v>
      </c>
      <c r="F811" s="11">
        <f>DAY(Tabela5[[#This Row],[Data]])</f>
        <v>9</v>
      </c>
      <c r="G8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12" spans="1:7">
      <c r="A812" s="11" t="s">
        <v>6</v>
      </c>
      <c r="B812" s="12">
        <v>44295</v>
      </c>
      <c r="C812" s="1" t="s">
        <v>40</v>
      </c>
      <c r="D812" s="1" t="s">
        <v>46</v>
      </c>
      <c r="E812" s="13">
        <v>2</v>
      </c>
      <c r="F812" s="11">
        <f>DAY(Tabela5[[#This Row],[Data]])</f>
        <v>9</v>
      </c>
      <c r="G8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13" spans="1:7">
      <c r="A813" s="11" t="s">
        <v>6</v>
      </c>
      <c r="B813" s="12">
        <v>44298</v>
      </c>
      <c r="C813" s="1" t="s">
        <v>40</v>
      </c>
      <c r="D813" s="1" t="s">
        <v>46</v>
      </c>
      <c r="E813" s="13">
        <v>1</v>
      </c>
      <c r="F813" s="11">
        <f>DAY(Tabela5[[#This Row],[Data]])</f>
        <v>12</v>
      </c>
      <c r="G8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14" spans="1:7">
      <c r="A814" s="11" t="s">
        <v>6</v>
      </c>
      <c r="B814" s="12">
        <v>44299</v>
      </c>
      <c r="C814" s="1" t="s">
        <v>40</v>
      </c>
      <c r="D814" s="1" t="s">
        <v>46</v>
      </c>
      <c r="E814" s="13">
        <v>1</v>
      </c>
      <c r="F814" s="11">
        <f>DAY(Tabela5[[#This Row],[Data]])</f>
        <v>13</v>
      </c>
      <c r="G8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15" spans="1:7">
      <c r="A815" s="11" t="s">
        <v>6</v>
      </c>
      <c r="B815" s="12">
        <v>44300</v>
      </c>
      <c r="C815" s="1" t="s">
        <v>40</v>
      </c>
      <c r="D815" s="1" t="s">
        <v>46</v>
      </c>
      <c r="E815" s="13">
        <v>2</v>
      </c>
      <c r="F815" s="11">
        <f>DAY(Tabela5[[#This Row],[Data]])</f>
        <v>14</v>
      </c>
      <c r="G8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16" spans="1:7">
      <c r="A816" s="11" t="s">
        <v>6</v>
      </c>
      <c r="B816" s="12">
        <v>44301</v>
      </c>
      <c r="C816" s="1" t="s">
        <v>40</v>
      </c>
      <c r="D816" s="1" t="s">
        <v>46</v>
      </c>
      <c r="E816" s="13">
        <v>2</v>
      </c>
      <c r="F816" s="11">
        <f>DAY(Tabela5[[#This Row],[Data]])</f>
        <v>15</v>
      </c>
      <c r="G8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17" spans="1:7">
      <c r="A817" s="11" t="s">
        <v>6</v>
      </c>
      <c r="B817" s="12">
        <v>44302</v>
      </c>
      <c r="C817" s="1" t="s">
        <v>40</v>
      </c>
      <c r="D817" s="1" t="s">
        <v>46</v>
      </c>
      <c r="E817" s="13">
        <v>1</v>
      </c>
      <c r="F817" s="11">
        <f>DAY(Tabela5[[#This Row],[Data]])</f>
        <v>16</v>
      </c>
      <c r="G8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18" spans="1:7">
      <c r="A818" s="11" t="s">
        <v>6</v>
      </c>
      <c r="B818" s="12">
        <v>44305</v>
      </c>
      <c r="C818" s="1" t="s">
        <v>40</v>
      </c>
      <c r="D818" s="1" t="s">
        <v>46</v>
      </c>
      <c r="E818" s="13">
        <v>1</v>
      </c>
      <c r="F818" s="11">
        <f>DAY(Tabela5[[#This Row],[Data]])</f>
        <v>19</v>
      </c>
      <c r="G8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19" spans="1:7">
      <c r="A819" s="11" t="s">
        <v>6</v>
      </c>
      <c r="B819" s="12">
        <v>44306</v>
      </c>
      <c r="C819" s="1" t="s">
        <v>40</v>
      </c>
      <c r="D819" s="1" t="s">
        <v>46</v>
      </c>
      <c r="E819" s="13">
        <v>2</v>
      </c>
      <c r="F819" s="11">
        <f>DAY(Tabela5[[#This Row],[Data]])</f>
        <v>20</v>
      </c>
      <c r="G8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20" spans="1:7">
      <c r="A820" s="11" t="s">
        <v>6</v>
      </c>
      <c r="B820" s="12">
        <v>44308</v>
      </c>
      <c r="C820" s="1" t="s">
        <v>40</v>
      </c>
      <c r="D820" s="1" t="s">
        <v>46</v>
      </c>
      <c r="E820" s="13">
        <v>2</v>
      </c>
      <c r="F820" s="11">
        <f>DAY(Tabela5[[#This Row],[Data]])</f>
        <v>22</v>
      </c>
      <c r="G8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21" spans="1:7">
      <c r="A821" s="11" t="s">
        <v>6</v>
      </c>
      <c r="B821" s="12">
        <v>44309</v>
      </c>
      <c r="C821" s="1" t="s">
        <v>40</v>
      </c>
      <c r="D821" s="1" t="s">
        <v>46</v>
      </c>
      <c r="E821" s="13">
        <v>1</v>
      </c>
      <c r="F821" s="11">
        <f>DAY(Tabela5[[#This Row],[Data]])</f>
        <v>23</v>
      </c>
      <c r="G8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22" spans="1:7">
      <c r="A822" s="11" t="s">
        <v>6</v>
      </c>
      <c r="B822" s="12">
        <v>44309</v>
      </c>
      <c r="C822" s="1" t="s">
        <v>40</v>
      </c>
      <c r="D822" s="1" t="s">
        <v>46</v>
      </c>
      <c r="E822" s="13">
        <v>1</v>
      </c>
      <c r="F822" s="11">
        <f>DAY(Tabela5[[#This Row],[Data]])</f>
        <v>23</v>
      </c>
      <c r="G8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23" spans="1:7">
      <c r="A823" s="11" t="s">
        <v>6</v>
      </c>
      <c r="B823" s="12">
        <v>44312</v>
      </c>
      <c r="C823" s="1" t="s">
        <v>40</v>
      </c>
      <c r="D823" s="1" t="s">
        <v>46</v>
      </c>
      <c r="E823" s="13">
        <v>1</v>
      </c>
      <c r="F823" s="11">
        <f>DAY(Tabela5[[#This Row],[Data]])</f>
        <v>26</v>
      </c>
      <c r="G8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24" spans="1:7">
      <c r="A824" s="11" t="s">
        <v>6</v>
      </c>
      <c r="B824" s="12">
        <v>44313</v>
      </c>
      <c r="C824" s="1" t="s">
        <v>40</v>
      </c>
      <c r="D824" s="1" t="s">
        <v>46</v>
      </c>
      <c r="E824" s="13">
        <v>2</v>
      </c>
      <c r="F824" s="11">
        <f>DAY(Tabela5[[#This Row],[Data]])</f>
        <v>27</v>
      </c>
      <c r="G8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25" spans="1:7">
      <c r="A825" s="11" t="s">
        <v>6</v>
      </c>
      <c r="B825" s="12">
        <v>44314</v>
      </c>
      <c r="C825" s="1" t="s">
        <v>40</v>
      </c>
      <c r="D825" s="1" t="s">
        <v>46</v>
      </c>
      <c r="E825" s="13">
        <v>1</v>
      </c>
      <c r="F825" s="11">
        <f>DAY(Tabela5[[#This Row],[Data]])</f>
        <v>28</v>
      </c>
      <c r="G8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26" spans="1:7">
      <c r="A826" s="11" t="s">
        <v>6</v>
      </c>
      <c r="B826" s="12">
        <v>44315</v>
      </c>
      <c r="C826" s="1" t="s">
        <v>40</v>
      </c>
      <c r="D826" s="1" t="s">
        <v>46</v>
      </c>
      <c r="E826" s="13">
        <v>1</v>
      </c>
      <c r="F826" s="11">
        <f>DAY(Tabela5[[#This Row],[Data]])</f>
        <v>29</v>
      </c>
      <c r="G8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27" spans="1:7">
      <c r="A827" s="11" t="s">
        <v>6</v>
      </c>
      <c r="B827" s="12">
        <v>44316</v>
      </c>
      <c r="C827" s="1" t="s">
        <v>40</v>
      </c>
      <c r="D827" s="1" t="s">
        <v>46</v>
      </c>
      <c r="E827" s="13">
        <v>1</v>
      </c>
      <c r="F827" s="11">
        <f>DAY(Tabela5[[#This Row],[Data]])</f>
        <v>30</v>
      </c>
      <c r="G8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28" spans="1:7">
      <c r="A828" s="11" t="s">
        <v>6</v>
      </c>
      <c r="B828" s="12">
        <v>44316</v>
      </c>
      <c r="C828" s="1" t="s">
        <v>40</v>
      </c>
      <c r="D828" s="1" t="s">
        <v>46</v>
      </c>
      <c r="E828" s="13">
        <v>1</v>
      </c>
      <c r="F828" s="11">
        <f>DAY(Tabela5[[#This Row],[Data]])</f>
        <v>30</v>
      </c>
      <c r="G8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29" spans="1:7">
      <c r="A829" s="11" t="s">
        <v>6</v>
      </c>
      <c r="B829" s="12">
        <v>44316</v>
      </c>
      <c r="C829" s="1" t="s">
        <v>40</v>
      </c>
      <c r="D829" s="1" t="s">
        <v>46</v>
      </c>
      <c r="E829" s="13">
        <v>2</v>
      </c>
      <c r="F829" s="11">
        <f>DAY(Tabela5[[#This Row],[Data]])</f>
        <v>30</v>
      </c>
      <c r="G8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30" spans="1:7">
      <c r="A830" s="11" t="s">
        <v>6</v>
      </c>
      <c r="B830" s="12">
        <v>44287</v>
      </c>
      <c r="C830" s="1" t="s">
        <v>29</v>
      </c>
      <c r="D830" s="1" t="s">
        <v>46</v>
      </c>
      <c r="E830" s="13">
        <v>2</v>
      </c>
      <c r="F830" s="11">
        <f>DAY(Tabela5[[#This Row],[Data]])</f>
        <v>1</v>
      </c>
      <c r="G8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31" spans="1:7">
      <c r="A831" s="11" t="s">
        <v>6</v>
      </c>
      <c r="B831" s="12">
        <v>44291</v>
      </c>
      <c r="C831" s="1" t="s">
        <v>29</v>
      </c>
      <c r="D831" s="1" t="s">
        <v>46</v>
      </c>
      <c r="E831" s="13">
        <v>1</v>
      </c>
      <c r="F831" s="11">
        <f>DAY(Tabela5[[#This Row],[Data]])</f>
        <v>5</v>
      </c>
      <c r="G8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32" spans="1:7">
      <c r="A832" s="11" t="s">
        <v>6</v>
      </c>
      <c r="B832" s="12">
        <v>44291</v>
      </c>
      <c r="C832" s="1" t="s">
        <v>29</v>
      </c>
      <c r="D832" s="1" t="s">
        <v>46</v>
      </c>
      <c r="E832" s="13">
        <v>1</v>
      </c>
      <c r="F832" s="11">
        <f>DAY(Tabela5[[#This Row],[Data]])</f>
        <v>5</v>
      </c>
      <c r="G8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33" spans="1:7">
      <c r="A833" s="11" t="s">
        <v>6</v>
      </c>
      <c r="B833" s="12">
        <v>44292</v>
      </c>
      <c r="C833" s="1" t="s">
        <v>29</v>
      </c>
      <c r="D833" s="1" t="s">
        <v>46</v>
      </c>
      <c r="E833" s="13">
        <v>2</v>
      </c>
      <c r="F833" s="11">
        <f>DAY(Tabela5[[#This Row],[Data]])</f>
        <v>6</v>
      </c>
      <c r="G8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34" spans="1:7">
      <c r="A834" s="11" t="s">
        <v>6</v>
      </c>
      <c r="B834" s="12">
        <v>44293</v>
      </c>
      <c r="C834" s="1" t="s">
        <v>29</v>
      </c>
      <c r="D834" s="1" t="s">
        <v>46</v>
      </c>
      <c r="E834" s="13">
        <v>1</v>
      </c>
      <c r="F834" s="11">
        <f>DAY(Tabela5[[#This Row],[Data]])</f>
        <v>7</v>
      </c>
      <c r="G8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35" spans="1:7">
      <c r="A835" s="11" t="s">
        <v>6</v>
      </c>
      <c r="B835" s="12">
        <v>44294</v>
      </c>
      <c r="C835" s="1" t="s">
        <v>29</v>
      </c>
      <c r="D835" s="1" t="s">
        <v>46</v>
      </c>
      <c r="E835" s="13">
        <v>2</v>
      </c>
      <c r="F835" s="11">
        <f>DAY(Tabela5[[#This Row],[Data]])</f>
        <v>8</v>
      </c>
      <c r="G8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36" spans="1:7">
      <c r="A836" s="11" t="s">
        <v>6</v>
      </c>
      <c r="B836" s="12">
        <v>44294</v>
      </c>
      <c r="C836" s="1" t="s">
        <v>29</v>
      </c>
      <c r="D836" s="1" t="s">
        <v>46</v>
      </c>
      <c r="E836" s="13">
        <v>1</v>
      </c>
      <c r="F836" s="11">
        <f>DAY(Tabela5[[#This Row],[Data]])</f>
        <v>8</v>
      </c>
      <c r="G8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37" spans="1:7">
      <c r="A837" s="11" t="s">
        <v>6</v>
      </c>
      <c r="B837" s="12">
        <v>44295</v>
      </c>
      <c r="C837" s="1" t="s">
        <v>29</v>
      </c>
      <c r="D837" s="1" t="s">
        <v>46</v>
      </c>
      <c r="E837" s="13">
        <v>2</v>
      </c>
      <c r="F837" s="11">
        <f>DAY(Tabela5[[#This Row],[Data]])</f>
        <v>9</v>
      </c>
      <c r="G8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38" spans="1:7">
      <c r="A838" s="11" t="s">
        <v>6</v>
      </c>
      <c r="B838" s="12">
        <v>44295</v>
      </c>
      <c r="C838" s="1" t="s">
        <v>29</v>
      </c>
      <c r="D838" s="1" t="s">
        <v>46</v>
      </c>
      <c r="E838" s="13">
        <v>2</v>
      </c>
      <c r="F838" s="11">
        <f>DAY(Tabela5[[#This Row],[Data]])</f>
        <v>9</v>
      </c>
      <c r="G8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39" spans="1:7">
      <c r="A839" s="11" t="s">
        <v>6</v>
      </c>
      <c r="B839" s="12">
        <v>44298</v>
      </c>
      <c r="C839" s="1" t="s">
        <v>29</v>
      </c>
      <c r="D839" s="1" t="s">
        <v>46</v>
      </c>
      <c r="E839" s="13">
        <v>2</v>
      </c>
      <c r="F839" s="11">
        <f>DAY(Tabela5[[#This Row],[Data]])</f>
        <v>12</v>
      </c>
      <c r="G8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40" spans="1:7">
      <c r="A840" s="11" t="s">
        <v>6</v>
      </c>
      <c r="B840" s="12">
        <v>44299</v>
      </c>
      <c r="C840" s="1" t="s">
        <v>29</v>
      </c>
      <c r="D840" s="1" t="s">
        <v>46</v>
      </c>
      <c r="E840" s="13">
        <v>1</v>
      </c>
      <c r="F840" s="11">
        <f>DAY(Tabela5[[#This Row],[Data]])</f>
        <v>13</v>
      </c>
      <c r="G8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41" spans="1:7">
      <c r="A841" s="11" t="s">
        <v>6</v>
      </c>
      <c r="B841" s="12">
        <v>44300</v>
      </c>
      <c r="C841" s="1" t="s">
        <v>29</v>
      </c>
      <c r="D841" s="1" t="s">
        <v>46</v>
      </c>
      <c r="E841" s="13">
        <v>1</v>
      </c>
      <c r="F841" s="11">
        <f>DAY(Tabela5[[#This Row],[Data]])</f>
        <v>14</v>
      </c>
      <c r="G8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42" spans="1:7">
      <c r="A842" s="11" t="s">
        <v>6</v>
      </c>
      <c r="B842" s="12">
        <v>44300</v>
      </c>
      <c r="C842" s="1" t="s">
        <v>29</v>
      </c>
      <c r="D842" s="1" t="s">
        <v>46</v>
      </c>
      <c r="E842" s="13">
        <v>2</v>
      </c>
      <c r="F842" s="11">
        <f>DAY(Tabela5[[#This Row],[Data]])</f>
        <v>14</v>
      </c>
      <c r="G8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43" spans="1:7">
      <c r="A843" s="11" t="s">
        <v>6</v>
      </c>
      <c r="B843" s="12">
        <v>44300</v>
      </c>
      <c r="C843" s="1" t="s">
        <v>29</v>
      </c>
      <c r="D843" s="1" t="s">
        <v>46</v>
      </c>
      <c r="E843" s="13">
        <v>2</v>
      </c>
      <c r="F843" s="11">
        <f>DAY(Tabela5[[#This Row],[Data]])</f>
        <v>14</v>
      </c>
      <c r="G8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44" spans="1:7">
      <c r="A844" s="11" t="s">
        <v>6</v>
      </c>
      <c r="B844" s="12">
        <v>44301</v>
      </c>
      <c r="C844" s="1" t="s">
        <v>29</v>
      </c>
      <c r="D844" s="1" t="s">
        <v>46</v>
      </c>
      <c r="E844" s="13">
        <v>2</v>
      </c>
      <c r="F844" s="11">
        <f>DAY(Tabela5[[#This Row],[Data]])</f>
        <v>15</v>
      </c>
      <c r="G8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45" spans="1:7">
      <c r="A845" s="11" t="s">
        <v>6</v>
      </c>
      <c r="B845" s="12">
        <v>44302</v>
      </c>
      <c r="C845" s="1" t="s">
        <v>29</v>
      </c>
      <c r="D845" s="1" t="s">
        <v>46</v>
      </c>
      <c r="E845" s="13">
        <v>2</v>
      </c>
      <c r="F845" s="11">
        <f>DAY(Tabela5[[#This Row],[Data]])</f>
        <v>16</v>
      </c>
      <c r="G8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46" spans="1:7">
      <c r="A846" s="11" t="s">
        <v>6</v>
      </c>
      <c r="B846" s="12">
        <v>44305</v>
      </c>
      <c r="C846" s="1" t="s">
        <v>29</v>
      </c>
      <c r="D846" s="1" t="s">
        <v>46</v>
      </c>
      <c r="E846" s="13">
        <v>2</v>
      </c>
      <c r="F846" s="11">
        <f>DAY(Tabela5[[#This Row],[Data]])</f>
        <v>19</v>
      </c>
      <c r="G8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47" spans="1:7">
      <c r="A847" s="11" t="s">
        <v>6</v>
      </c>
      <c r="B847" s="12">
        <v>44306</v>
      </c>
      <c r="C847" s="1" t="s">
        <v>29</v>
      </c>
      <c r="D847" s="1" t="s">
        <v>46</v>
      </c>
      <c r="E847" s="13">
        <v>2</v>
      </c>
      <c r="F847" s="11">
        <f>DAY(Tabela5[[#This Row],[Data]])</f>
        <v>20</v>
      </c>
      <c r="G8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48" spans="1:7">
      <c r="A848" s="11" t="s">
        <v>6</v>
      </c>
      <c r="B848" s="12">
        <v>44308</v>
      </c>
      <c r="C848" s="1" t="s">
        <v>29</v>
      </c>
      <c r="D848" s="1" t="s">
        <v>46</v>
      </c>
      <c r="E848" s="13">
        <v>1</v>
      </c>
      <c r="F848" s="11">
        <f>DAY(Tabela5[[#This Row],[Data]])</f>
        <v>22</v>
      </c>
      <c r="G8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49" spans="1:7">
      <c r="A849" s="11" t="s">
        <v>6</v>
      </c>
      <c r="B849" s="12">
        <v>44309</v>
      </c>
      <c r="C849" s="1" t="s">
        <v>29</v>
      </c>
      <c r="D849" s="1" t="s">
        <v>46</v>
      </c>
      <c r="E849" s="13">
        <v>1</v>
      </c>
      <c r="F849" s="11">
        <f>DAY(Tabela5[[#This Row],[Data]])</f>
        <v>23</v>
      </c>
      <c r="G8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50" spans="1:7">
      <c r="A850" s="11" t="s">
        <v>6</v>
      </c>
      <c r="B850" s="12">
        <v>44312</v>
      </c>
      <c r="C850" s="1" t="s">
        <v>29</v>
      </c>
      <c r="D850" s="1" t="s">
        <v>46</v>
      </c>
      <c r="E850" s="13">
        <v>2</v>
      </c>
      <c r="F850" s="11">
        <f>DAY(Tabela5[[#This Row],[Data]])</f>
        <v>26</v>
      </c>
      <c r="G8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51" spans="1:7">
      <c r="A851" s="11" t="s">
        <v>6</v>
      </c>
      <c r="B851" s="12">
        <v>44313</v>
      </c>
      <c r="C851" s="1" t="s">
        <v>29</v>
      </c>
      <c r="D851" s="1" t="s">
        <v>46</v>
      </c>
      <c r="E851" s="13">
        <v>2</v>
      </c>
      <c r="F851" s="11">
        <f>DAY(Tabela5[[#This Row],[Data]])</f>
        <v>27</v>
      </c>
      <c r="G8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52" spans="1:7">
      <c r="A852" s="11" t="s">
        <v>6</v>
      </c>
      <c r="B852" s="12">
        <v>44313</v>
      </c>
      <c r="C852" s="1" t="s">
        <v>29</v>
      </c>
      <c r="D852" s="1" t="s">
        <v>46</v>
      </c>
      <c r="E852" s="13">
        <v>1</v>
      </c>
      <c r="F852" s="11">
        <f>DAY(Tabela5[[#This Row],[Data]])</f>
        <v>27</v>
      </c>
      <c r="G8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53" spans="1:7">
      <c r="A853" s="11" t="s">
        <v>6</v>
      </c>
      <c r="B853" s="12">
        <v>44313</v>
      </c>
      <c r="C853" s="1" t="s">
        <v>29</v>
      </c>
      <c r="D853" s="1" t="s">
        <v>46</v>
      </c>
      <c r="E853" s="13">
        <v>2</v>
      </c>
      <c r="F853" s="11">
        <f>DAY(Tabela5[[#This Row],[Data]])</f>
        <v>27</v>
      </c>
      <c r="G8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54" spans="1:7">
      <c r="A854" s="11" t="s">
        <v>6</v>
      </c>
      <c r="B854" s="12">
        <v>44314</v>
      </c>
      <c r="C854" s="1" t="s">
        <v>29</v>
      </c>
      <c r="D854" s="1" t="s">
        <v>46</v>
      </c>
      <c r="E854" s="13">
        <v>2</v>
      </c>
      <c r="F854" s="11">
        <f>DAY(Tabela5[[#This Row],[Data]])</f>
        <v>28</v>
      </c>
      <c r="G8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55" spans="1:7">
      <c r="A855" s="11" t="s">
        <v>6</v>
      </c>
      <c r="B855" s="12">
        <v>44314</v>
      </c>
      <c r="C855" s="1" t="s">
        <v>29</v>
      </c>
      <c r="D855" s="1" t="s">
        <v>46</v>
      </c>
      <c r="E855" s="13">
        <v>1</v>
      </c>
      <c r="F855" s="11">
        <f>DAY(Tabela5[[#This Row],[Data]])</f>
        <v>28</v>
      </c>
      <c r="G8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56" spans="1:7">
      <c r="A856" s="11" t="s">
        <v>6</v>
      </c>
      <c r="B856" s="12">
        <v>44315</v>
      </c>
      <c r="C856" s="1" t="s">
        <v>29</v>
      </c>
      <c r="D856" s="1" t="s">
        <v>46</v>
      </c>
      <c r="E856" s="13">
        <v>1</v>
      </c>
      <c r="F856" s="11">
        <f>DAY(Tabela5[[#This Row],[Data]])</f>
        <v>29</v>
      </c>
      <c r="G8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57" spans="1:7">
      <c r="A857" s="11" t="s">
        <v>6</v>
      </c>
      <c r="B857" s="12">
        <v>44316</v>
      </c>
      <c r="C857" s="1" t="s">
        <v>29</v>
      </c>
      <c r="D857" s="1" t="s">
        <v>46</v>
      </c>
      <c r="E857" s="13">
        <v>2</v>
      </c>
      <c r="F857" s="11">
        <f>DAY(Tabela5[[#This Row],[Data]])</f>
        <v>30</v>
      </c>
      <c r="G8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58" spans="1:7">
      <c r="A858" s="11" t="s">
        <v>6</v>
      </c>
      <c r="B858" s="12">
        <v>44316</v>
      </c>
      <c r="C858" s="1" t="s">
        <v>29</v>
      </c>
      <c r="D858" s="1" t="s">
        <v>46</v>
      </c>
      <c r="E858" s="13">
        <v>2</v>
      </c>
      <c r="F858" s="11">
        <f>DAY(Tabela5[[#This Row],[Data]])</f>
        <v>30</v>
      </c>
      <c r="G8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59" spans="1:7">
      <c r="A859" s="11" t="s">
        <v>4</v>
      </c>
      <c r="B859" s="12">
        <v>44287</v>
      </c>
      <c r="C859" s="1" t="s">
        <v>15</v>
      </c>
      <c r="D859" s="1" t="s">
        <v>46</v>
      </c>
      <c r="E859" s="13">
        <v>1</v>
      </c>
      <c r="F859" s="11">
        <f>DAY(Tabela5[[#This Row],[Data]])</f>
        <v>1</v>
      </c>
      <c r="G8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60" spans="1:7">
      <c r="A860" s="11" t="s">
        <v>4</v>
      </c>
      <c r="B860" s="12">
        <v>44291</v>
      </c>
      <c r="C860" s="1" t="s">
        <v>15</v>
      </c>
      <c r="D860" s="1" t="s">
        <v>46</v>
      </c>
      <c r="E860" s="13">
        <v>2</v>
      </c>
      <c r="F860" s="11">
        <f>DAY(Tabela5[[#This Row],[Data]])</f>
        <v>5</v>
      </c>
      <c r="G8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61" spans="1:7">
      <c r="A861" s="11" t="s">
        <v>4</v>
      </c>
      <c r="B861" s="12">
        <v>44292</v>
      </c>
      <c r="C861" s="1" t="s">
        <v>15</v>
      </c>
      <c r="D861" s="1" t="s">
        <v>46</v>
      </c>
      <c r="E861" s="13">
        <v>1</v>
      </c>
      <c r="F861" s="11">
        <f>DAY(Tabela5[[#This Row],[Data]])</f>
        <v>6</v>
      </c>
      <c r="G8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62" spans="1:7">
      <c r="A862" s="11" t="s">
        <v>4</v>
      </c>
      <c r="B862" s="12">
        <v>44293</v>
      </c>
      <c r="C862" s="1" t="s">
        <v>15</v>
      </c>
      <c r="D862" s="1" t="s">
        <v>46</v>
      </c>
      <c r="E862" s="13">
        <v>1</v>
      </c>
      <c r="F862" s="11">
        <f>DAY(Tabela5[[#This Row],[Data]])</f>
        <v>7</v>
      </c>
      <c r="G8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63" spans="1:7">
      <c r="A863" s="11" t="s">
        <v>4</v>
      </c>
      <c r="B863" s="12">
        <v>44293</v>
      </c>
      <c r="C863" s="1" t="s">
        <v>15</v>
      </c>
      <c r="D863" s="1" t="s">
        <v>46</v>
      </c>
      <c r="E863" s="13">
        <v>2</v>
      </c>
      <c r="F863" s="11">
        <f>DAY(Tabela5[[#This Row],[Data]])</f>
        <v>7</v>
      </c>
      <c r="G8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64" spans="1:7">
      <c r="A864" s="11" t="s">
        <v>4</v>
      </c>
      <c r="B864" s="12">
        <v>44294</v>
      </c>
      <c r="C864" s="1" t="s">
        <v>15</v>
      </c>
      <c r="D864" s="1" t="s">
        <v>46</v>
      </c>
      <c r="E864" s="13">
        <v>2</v>
      </c>
      <c r="F864" s="11">
        <f>DAY(Tabela5[[#This Row],[Data]])</f>
        <v>8</v>
      </c>
      <c r="G8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65" spans="1:7">
      <c r="A865" s="11" t="s">
        <v>4</v>
      </c>
      <c r="B865" s="12">
        <v>44295</v>
      </c>
      <c r="C865" s="1" t="s">
        <v>15</v>
      </c>
      <c r="D865" s="1" t="s">
        <v>46</v>
      </c>
      <c r="E865" s="13">
        <v>1</v>
      </c>
      <c r="F865" s="11">
        <f>DAY(Tabela5[[#This Row],[Data]])</f>
        <v>9</v>
      </c>
      <c r="G8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66" spans="1:7">
      <c r="A866" s="11" t="s">
        <v>4</v>
      </c>
      <c r="B866" s="12">
        <v>44295</v>
      </c>
      <c r="C866" s="1" t="s">
        <v>15</v>
      </c>
      <c r="D866" s="1" t="s">
        <v>46</v>
      </c>
      <c r="E866" s="13">
        <v>1</v>
      </c>
      <c r="F866" s="11">
        <f>DAY(Tabela5[[#This Row],[Data]])</f>
        <v>9</v>
      </c>
      <c r="G8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67" spans="1:7">
      <c r="A867" s="11" t="s">
        <v>4</v>
      </c>
      <c r="B867" s="12">
        <v>44296</v>
      </c>
      <c r="C867" s="1" t="s">
        <v>15</v>
      </c>
      <c r="D867" s="1" t="s">
        <v>46</v>
      </c>
      <c r="E867" s="13">
        <v>2</v>
      </c>
      <c r="F867" s="11">
        <f>DAY(Tabela5[[#This Row],[Data]])</f>
        <v>10</v>
      </c>
      <c r="G8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868" spans="1:7">
      <c r="A868" s="11" t="s">
        <v>4</v>
      </c>
      <c r="B868" s="12">
        <v>44298</v>
      </c>
      <c r="C868" s="1" t="s">
        <v>15</v>
      </c>
      <c r="D868" s="1" t="s">
        <v>46</v>
      </c>
      <c r="E868" s="13">
        <v>2</v>
      </c>
      <c r="F868" s="11">
        <f>DAY(Tabela5[[#This Row],[Data]])</f>
        <v>12</v>
      </c>
      <c r="G8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69" spans="1:7">
      <c r="A869" s="11" t="s">
        <v>4</v>
      </c>
      <c r="B869" s="12">
        <v>44299</v>
      </c>
      <c r="C869" s="1" t="s">
        <v>15</v>
      </c>
      <c r="D869" s="1" t="s">
        <v>46</v>
      </c>
      <c r="E869" s="13">
        <v>2</v>
      </c>
      <c r="F869" s="11">
        <f>DAY(Tabela5[[#This Row],[Data]])</f>
        <v>13</v>
      </c>
      <c r="G8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70" spans="1:7">
      <c r="A870" s="11" t="s">
        <v>4</v>
      </c>
      <c r="B870" s="12">
        <v>44300</v>
      </c>
      <c r="C870" s="1" t="s">
        <v>15</v>
      </c>
      <c r="D870" s="1" t="s">
        <v>46</v>
      </c>
      <c r="E870" s="13">
        <v>2</v>
      </c>
      <c r="F870" s="11">
        <f>DAY(Tabela5[[#This Row],[Data]])</f>
        <v>14</v>
      </c>
      <c r="G8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71" spans="1:7">
      <c r="A871" s="11" t="s">
        <v>4</v>
      </c>
      <c r="B871" s="12">
        <v>44301</v>
      </c>
      <c r="C871" s="1" t="s">
        <v>15</v>
      </c>
      <c r="D871" s="1" t="s">
        <v>46</v>
      </c>
      <c r="E871" s="13">
        <v>2</v>
      </c>
      <c r="F871" s="11">
        <f>DAY(Tabela5[[#This Row],[Data]])</f>
        <v>15</v>
      </c>
      <c r="G8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72" spans="1:7">
      <c r="A872" s="11" t="s">
        <v>4</v>
      </c>
      <c r="B872" s="12">
        <v>44302</v>
      </c>
      <c r="C872" s="1" t="s">
        <v>15</v>
      </c>
      <c r="D872" s="1" t="s">
        <v>46</v>
      </c>
      <c r="E872" s="13">
        <v>1</v>
      </c>
      <c r="F872" s="11">
        <f>DAY(Tabela5[[#This Row],[Data]])</f>
        <v>16</v>
      </c>
      <c r="G8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73" spans="1:7">
      <c r="A873" s="11" t="s">
        <v>4</v>
      </c>
      <c r="B873" s="12">
        <v>44302</v>
      </c>
      <c r="C873" s="1" t="s">
        <v>15</v>
      </c>
      <c r="D873" s="1" t="s">
        <v>46</v>
      </c>
      <c r="E873" s="13">
        <v>1</v>
      </c>
      <c r="F873" s="11">
        <f>DAY(Tabela5[[#This Row],[Data]])</f>
        <v>16</v>
      </c>
      <c r="G8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74" spans="1:7">
      <c r="A874" s="11" t="s">
        <v>4</v>
      </c>
      <c r="B874" s="12">
        <v>44305</v>
      </c>
      <c r="C874" s="1" t="s">
        <v>15</v>
      </c>
      <c r="D874" s="1" t="s">
        <v>46</v>
      </c>
      <c r="E874" s="13">
        <v>1</v>
      </c>
      <c r="F874" s="11">
        <f>DAY(Tabela5[[#This Row],[Data]])</f>
        <v>19</v>
      </c>
      <c r="G8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75" spans="1:7">
      <c r="A875" s="11" t="s">
        <v>4</v>
      </c>
      <c r="B875" s="12">
        <v>44305</v>
      </c>
      <c r="C875" s="1" t="s">
        <v>15</v>
      </c>
      <c r="D875" s="1" t="s">
        <v>46</v>
      </c>
      <c r="E875" s="13">
        <v>2</v>
      </c>
      <c r="F875" s="11">
        <f>DAY(Tabela5[[#This Row],[Data]])</f>
        <v>19</v>
      </c>
      <c r="G8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76" spans="1:7">
      <c r="A876" s="11" t="s">
        <v>4</v>
      </c>
      <c r="B876" s="12">
        <v>44306</v>
      </c>
      <c r="C876" s="1" t="s">
        <v>15</v>
      </c>
      <c r="D876" s="1" t="s">
        <v>46</v>
      </c>
      <c r="E876" s="13">
        <v>2</v>
      </c>
      <c r="F876" s="11">
        <f>DAY(Tabela5[[#This Row],[Data]])</f>
        <v>20</v>
      </c>
      <c r="G8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77" spans="1:7">
      <c r="A877" s="11" t="s">
        <v>4</v>
      </c>
      <c r="B877" s="12">
        <v>44308</v>
      </c>
      <c r="C877" s="1" t="s">
        <v>15</v>
      </c>
      <c r="D877" s="1" t="s">
        <v>46</v>
      </c>
      <c r="E877" s="13">
        <v>2</v>
      </c>
      <c r="F877" s="11">
        <f>DAY(Tabela5[[#This Row],[Data]])</f>
        <v>22</v>
      </c>
      <c r="G8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78" spans="1:7">
      <c r="A878" s="11" t="s">
        <v>4</v>
      </c>
      <c r="B878" s="12">
        <v>44309</v>
      </c>
      <c r="C878" s="1" t="s">
        <v>15</v>
      </c>
      <c r="D878" s="1" t="s">
        <v>46</v>
      </c>
      <c r="E878" s="13">
        <v>1</v>
      </c>
      <c r="F878" s="11">
        <f>DAY(Tabela5[[#This Row],[Data]])</f>
        <v>23</v>
      </c>
      <c r="G8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79" spans="1:7">
      <c r="A879" s="11" t="s">
        <v>4</v>
      </c>
      <c r="B879" s="12">
        <v>44311</v>
      </c>
      <c r="C879" s="1" t="s">
        <v>15</v>
      </c>
      <c r="D879" s="1" t="s">
        <v>46</v>
      </c>
      <c r="E879" s="13">
        <v>2</v>
      </c>
      <c r="F879" s="11">
        <f>DAY(Tabela5[[#This Row],[Data]])</f>
        <v>25</v>
      </c>
      <c r="G8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880" spans="1:7">
      <c r="A880" s="11" t="s">
        <v>4</v>
      </c>
      <c r="B880" s="12">
        <v>44312</v>
      </c>
      <c r="C880" s="1" t="s">
        <v>15</v>
      </c>
      <c r="D880" s="1" t="s">
        <v>46</v>
      </c>
      <c r="E880" s="13">
        <v>1</v>
      </c>
      <c r="F880" s="11">
        <f>DAY(Tabela5[[#This Row],[Data]])</f>
        <v>26</v>
      </c>
      <c r="G8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81" spans="1:7">
      <c r="A881" s="11" t="s">
        <v>4</v>
      </c>
      <c r="B881" s="12">
        <v>44312</v>
      </c>
      <c r="C881" s="1" t="s">
        <v>15</v>
      </c>
      <c r="D881" s="1" t="s">
        <v>46</v>
      </c>
      <c r="E881" s="13">
        <v>1</v>
      </c>
      <c r="F881" s="11">
        <f>DAY(Tabela5[[#This Row],[Data]])</f>
        <v>26</v>
      </c>
      <c r="G8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82" spans="1:7">
      <c r="A882" s="11" t="s">
        <v>4</v>
      </c>
      <c r="B882" s="12">
        <v>44313</v>
      </c>
      <c r="C882" s="1" t="s">
        <v>15</v>
      </c>
      <c r="D882" s="1" t="s">
        <v>46</v>
      </c>
      <c r="E882" s="13">
        <v>2</v>
      </c>
      <c r="F882" s="11">
        <f>DAY(Tabela5[[#This Row],[Data]])</f>
        <v>27</v>
      </c>
      <c r="G8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83" spans="1:7">
      <c r="A883" s="11" t="s">
        <v>4</v>
      </c>
      <c r="B883" s="12">
        <v>44314</v>
      </c>
      <c r="C883" s="1" t="s">
        <v>15</v>
      </c>
      <c r="D883" s="1" t="s">
        <v>46</v>
      </c>
      <c r="E883" s="13">
        <v>1</v>
      </c>
      <c r="F883" s="11">
        <f>DAY(Tabela5[[#This Row],[Data]])</f>
        <v>28</v>
      </c>
      <c r="G8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84" spans="1:7">
      <c r="A884" s="11" t="s">
        <v>4</v>
      </c>
      <c r="B884" s="12">
        <v>44315</v>
      </c>
      <c r="C884" s="1" t="s">
        <v>15</v>
      </c>
      <c r="D884" s="1" t="s">
        <v>46</v>
      </c>
      <c r="E884" s="13">
        <v>1</v>
      </c>
      <c r="F884" s="11">
        <f>DAY(Tabela5[[#This Row],[Data]])</f>
        <v>29</v>
      </c>
      <c r="G8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85" spans="1:7">
      <c r="A885" s="11" t="s">
        <v>4</v>
      </c>
      <c r="B885" s="12">
        <v>44316</v>
      </c>
      <c r="C885" s="1" t="s">
        <v>15</v>
      </c>
      <c r="D885" s="1" t="s">
        <v>46</v>
      </c>
      <c r="E885" s="13">
        <v>1</v>
      </c>
      <c r="F885" s="11">
        <f>DAY(Tabela5[[#This Row],[Data]])</f>
        <v>30</v>
      </c>
      <c r="G8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86" spans="1:7">
      <c r="A886" s="11" t="s">
        <v>4</v>
      </c>
      <c r="B886" s="12">
        <v>44316</v>
      </c>
      <c r="C886" s="1" t="s">
        <v>15</v>
      </c>
      <c r="D886" s="1" t="s">
        <v>46</v>
      </c>
      <c r="E886" s="13">
        <v>2</v>
      </c>
      <c r="F886" s="11">
        <f>DAY(Tabela5[[#This Row],[Data]])</f>
        <v>30</v>
      </c>
      <c r="G8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87" spans="1:7">
      <c r="A887" s="11" t="s">
        <v>4</v>
      </c>
      <c r="B887" s="12">
        <v>44316</v>
      </c>
      <c r="C887" s="1" t="s">
        <v>15</v>
      </c>
      <c r="D887" s="1" t="s">
        <v>46</v>
      </c>
      <c r="E887" s="13">
        <v>2</v>
      </c>
      <c r="F887" s="11">
        <f>DAY(Tabela5[[#This Row],[Data]])</f>
        <v>30</v>
      </c>
      <c r="G8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88" spans="1:7">
      <c r="A888" s="11" t="s">
        <v>4</v>
      </c>
      <c r="B888" s="12">
        <v>44287</v>
      </c>
      <c r="C888" s="1" t="s">
        <v>41</v>
      </c>
      <c r="D888" s="1" t="s">
        <v>46</v>
      </c>
      <c r="E888" s="13">
        <v>2</v>
      </c>
      <c r="F888" s="11">
        <f>DAY(Tabela5[[#This Row],[Data]])</f>
        <v>1</v>
      </c>
      <c r="G8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89" spans="1:7">
      <c r="A889" s="11" t="s">
        <v>4</v>
      </c>
      <c r="B889" s="12">
        <v>44291</v>
      </c>
      <c r="C889" s="1" t="s">
        <v>41</v>
      </c>
      <c r="D889" s="1" t="s">
        <v>46</v>
      </c>
      <c r="E889" s="13">
        <v>1</v>
      </c>
      <c r="F889" s="11">
        <f>DAY(Tabela5[[#This Row],[Data]])</f>
        <v>5</v>
      </c>
      <c r="G8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90" spans="1:7">
      <c r="A890" s="11" t="s">
        <v>4</v>
      </c>
      <c r="B890" s="12">
        <v>44292</v>
      </c>
      <c r="C890" s="1" t="s">
        <v>41</v>
      </c>
      <c r="D890" s="1" t="s">
        <v>46</v>
      </c>
      <c r="E890" s="13">
        <v>2</v>
      </c>
      <c r="F890" s="11">
        <f>DAY(Tabela5[[#This Row],[Data]])</f>
        <v>6</v>
      </c>
      <c r="G8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91" spans="1:7">
      <c r="A891" s="11" t="s">
        <v>4</v>
      </c>
      <c r="B891" s="12">
        <v>44293</v>
      </c>
      <c r="C891" s="1" t="s">
        <v>41</v>
      </c>
      <c r="D891" s="1" t="s">
        <v>46</v>
      </c>
      <c r="E891" s="13">
        <v>1</v>
      </c>
      <c r="F891" s="11">
        <f>DAY(Tabela5[[#This Row],[Data]])</f>
        <v>7</v>
      </c>
      <c r="G8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92" spans="1:7">
      <c r="A892" s="11" t="s">
        <v>4</v>
      </c>
      <c r="B892" s="12">
        <v>44294</v>
      </c>
      <c r="C892" s="1" t="s">
        <v>41</v>
      </c>
      <c r="D892" s="1" t="s">
        <v>46</v>
      </c>
      <c r="E892" s="13">
        <v>1</v>
      </c>
      <c r="F892" s="11">
        <f>DAY(Tabela5[[#This Row],[Data]])</f>
        <v>8</v>
      </c>
      <c r="G8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893" spans="1:7">
      <c r="A893" s="11" t="s">
        <v>4</v>
      </c>
      <c r="B893" s="12">
        <v>44295</v>
      </c>
      <c r="C893" s="1" t="s">
        <v>41</v>
      </c>
      <c r="D893" s="1" t="s">
        <v>46</v>
      </c>
      <c r="E893" s="13">
        <v>1</v>
      </c>
      <c r="F893" s="11">
        <f>DAY(Tabela5[[#This Row],[Data]])</f>
        <v>9</v>
      </c>
      <c r="G8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894" spans="1:7">
      <c r="A894" s="11" t="s">
        <v>4</v>
      </c>
      <c r="B894" s="12">
        <v>44297</v>
      </c>
      <c r="C894" s="1" t="s">
        <v>41</v>
      </c>
      <c r="D894" s="1" t="s">
        <v>46</v>
      </c>
      <c r="E894" s="13">
        <v>2</v>
      </c>
      <c r="F894" s="11">
        <f>DAY(Tabela5[[#This Row],[Data]])</f>
        <v>11</v>
      </c>
      <c r="G8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895" spans="1:7">
      <c r="A895" s="11" t="s">
        <v>4</v>
      </c>
      <c r="B895" s="12">
        <v>44297</v>
      </c>
      <c r="C895" s="1" t="s">
        <v>41</v>
      </c>
      <c r="D895" s="1" t="s">
        <v>46</v>
      </c>
      <c r="E895" s="13">
        <v>2</v>
      </c>
      <c r="F895" s="11">
        <f>DAY(Tabela5[[#This Row],[Data]])</f>
        <v>11</v>
      </c>
      <c r="G8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896" spans="1:7">
      <c r="A896" s="11" t="s">
        <v>4</v>
      </c>
      <c r="B896" s="12">
        <v>44298</v>
      </c>
      <c r="C896" s="1" t="s">
        <v>41</v>
      </c>
      <c r="D896" s="1" t="s">
        <v>46</v>
      </c>
      <c r="E896" s="13">
        <v>1</v>
      </c>
      <c r="F896" s="11">
        <f>DAY(Tabela5[[#This Row],[Data]])</f>
        <v>12</v>
      </c>
      <c r="G8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897" spans="1:7">
      <c r="A897" s="11" t="s">
        <v>4</v>
      </c>
      <c r="B897" s="12">
        <v>44299</v>
      </c>
      <c r="C897" s="1" t="s">
        <v>41</v>
      </c>
      <c r="D897" s="1" t="s">
        <v>46</v>
      </c>
      <c r="E897" s="13">
        <v>2</v>
      </c>
      <c r="F897" s="11">
        <f>DAY(Tabela5[[#This Row],[Data]])</f>
        <v>13</v>
      </c>
      <c r="G8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898" spans="1:7">
      <c r="A898" s="11" t="s">
        <v>4</v>
      </c>
      <c r="B898" s="12">
        <v>44300</v>
      </c>
      <c r="C898" s="1" t="s">
        <v>41</v>
      </c>
      <c r="D898" s="1" t="s">
        <v>46</v>
      </c>
      <c r="E898" s="13">
        <v>1</v>
      </c>
      <c r="F898" s="11">
        <f>DAY(Tabela5[[#This Row],[Data]])</f>
        <v>14</v>
      </c>
      <c r="G8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899" spans="1:7">
      <c r="A899" s="11" t="s">
        <v>4</v>
      </c>
      <c r="B899" s="12">
        <v>44301</v>
      </c>
      <c r="C899" s="1" t="s">
        <v>41</v>
      </c>
      <c r="D899" s="1" t="s">
        <v>46</v>
      </c>
      <c r="E899" s="13">
        <v>2</v>
      </c>
      <c r="F899" s="11">
        <f>DAY(Tabela5[[#This Row],[Data]])</f>
        <v>15</v>
      </c>
      <c r="G8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00" spans="1:7">
      <c r="A900" s="11" t="s">
        <v>4</v>
      </c>
      <c r="B900" s="12">
        <v>44302</v>
      </c>
      <c r="C900" s="1" t="s">
        <v>41</v>
      </c>
      <c r="D900" s="1" t="s">
        <v>46</v>
      </c>
      <c r="E900" s="13">
        <v>2</v>
      </c>
      <c r="F900" s="11">
        <f>DAY(Tabela5[[#This Row],[Data]])</f>
        <v>16</v>
      </c>
      <c r="G9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01" spans="1:7">
      <c r="A901" s="11" t="s">
        <v>4</v>
      </c>
      <c r="B901" s="12">
        <v>44305</v>
      </c>
      <c r="C901" s="1" t="s">
        <v>41</v>
      </c>
      <c r="D901" s="1" t="s">
        <v>46</v>
      </c>
      <c r="E901" s="13">
        <v>2</v>
      </c>
      <c r="F901" s="11">
        <f>DAY(Tabela5[[#This Row],[Data]])</f>
        <v>19</v>
      </c>
      <c r="G9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02" spans="1:7">
      <c r="A902" s="11" t="s">
        <v>4</v>
      </c>
      <c r="B902" s="12">
        <v>44306</v>
      </c>
      <c r="C902" s="1" t="s">
        <v>41</v>
      </c>
      <c r="D902" s="1" t="s">
        <v>46</v>
      </c>
      <c r="E902" s="13">
        <v>2</v>
      </c>
      <c r="F902" s="11">
        <f>DAY(Tabela5[[#This Row],[Data]])</f>
        <v>20</v>
      </c>
      <c r="G9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03" spans="1:7">
      <c r="A903" s="11" t="s">
        <v>4</v>
      </c>
      <c r="B903" s="12">
        <v>44308</v>
      </c>
      <c r="C903" s="1" t="s">
        <v>41</v>
      </c>
      <c r="D903" s="1" t="s">
        <v>46</v>
      </c>
      <c r="E903" s="13">
        <v>2</v>
      </c>
      <c r="F903" s="11">
        <f>DAY(Tabela5[[#This Row],[Data]])</f>
        <v>22</v>
      </c>
      <c r="G9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04" spans="1:7">
      <c r="A904" s="11" t="s">
        <v>4</v>
      </c>
      <c r="B904" s="12">
        <v>44309</v>
      </c>
      <c r="C904" s="1" t="s">
        <v>41</v>
      </c>
      <c r="D904" s="1" t="s">
        <v>46</v>
      </c>
      <c r="E904" s="13">
        <v>1</v>
      </c>
      <c r="F904" s="11">
        <f>DAY(Tabela5[[#This Row],[Data]])</f>
        <v>23</v>
      </c>
      <c r="G9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05" spans="1:7">
      <c r="A905" s="11" t="s">
        <v>4</v>
      </c>
      <c r="B905" s="12">
        <v>44309</v>
      </c>
      <c r="C905" s="1" t="s">
        <v>41</v>
      </c>
      <c r="D905" s="1" t="s">
        <v>46</v>
      </c>
      <c r="E905" s="13">
        <v>2</v>
      </c>
      <c r="F905" s="11">
        <f>DAY(Tabela5[[#This Row],[Data]])</f>
        <v>23</v>
      </c>
      <c r="G9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06" spans="1:7">
      <c r="A906" s="11" t="s">
        <v>4</v>
      </c>
      <c r="B906" s="12">
        <v>44310</v>
      </c>
      <c r="C906" s="1" t="s">
        <v>41</v>
      </c>
      <c r="D906" s="1" t="s">
        <v>46</v>
      </c>
      <c r="E906" s="13">
        <v>1</v>
      </c>
      <c r="F906" s="11">
        <f>DAY(Tabela5[[#This Row],[Data]])</f>
        <v>24</v>
      </c>
      <c r="G9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907" spans="1:7">
      <c r="A907" s="11" t="s">
        <v>4</v>
      </c>
      <c r="B907" s="12">
        <v>44310</v>
      </c>
      <c r="C907" s="1" t="s">
        <v>41</v>
      </c>
      <c r="D907" s="1" t="s">
        <v>46</v>
      </c>
      <c r="E907" s="13">
        <v>2</v>
      </c>
      <c r="F907" s="11">
        <f>DAY(Tabela5[[#This Row],[Data]])</f>
        <v>24</v>
      </c>
      <c r="G9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908" spans="1:7">
      <c r="A908" s="11" t="s">
        <v>4</v>
      </c>
      <c r="B908" s="12">
        <v>44312</v>
      </c>
      <c r="C908" s="1" t="s">
        <v>41</v>
      </c>
      <c r="D908" s="1" t="s">
        <v>46</v>
      </c>
      <c r="E908" s="13">
        <v>1</v>
      </c>
      <c r="F908" s="11">
        <f>DAY(Tabela5[[#This Row],[Data]])</f>
        <v>26</v>
      </c>
      <c r="G9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09" spans="1:7">
      <c r="A909" s="11" t="s">
        <v>4</v>
      </c>
      <c r="B909" s="12">
        <v>44312</v>
      </c>
      <c r="C909" s="1" t="s">
        <v>41</v>
      </c>
      <c r="D909" s="1" t="s">
        <v>46</v>
      </c>
      <c r="E909" s="13">
        <v>2</v>
      </c>
      <c r="F909" s="11">
        <f>DAY(Tabela5[[#This Row],[Data]])</f>
        <v>26</v>
      </c>
      <c r="G9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10" spans="1:7">
      <c r="A910" s="11" t="s">
        <v>4</v>
      </c>
      <c r="B910" s="12">
        <v>44313</v>
      </c>
      <c r="C910" s="1" t="s">
        <v>41</v>
      </c>
      <c r="D910" s="1" t="s">
        <v>46</v>
      </c>
      <c r="E910" s="13">
        <v>2</v>
      </c>
      <c r="F910" s="11">
        <f>DAY(Tabela5[[#This Row],[Data]])</f>
        <v>27</v>
      </c>
      <c r="G9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11" spans="1:7">
      <c r="A911" s="11" t="s">
        <v>4</v>
      </c>
      <c r="B911" s="12">
        <v>44314</v>
      </c>
      <c r="C911" s="1" t="s">
        <v>41</v>
      </c>
      <c r="D911" s="1" t="s">
        <v>46</v>
      </c>
      <c r="E911" s="13">
        <v>1</v>
      </c>
      <c r="F911" s="11">
        <f>DAY(Tabela5[[#This Row],[Data]])</f>
        <v>28</v>
      </c>
      <c r="G9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12" spans="1:7">
      <c r="A912" s="11" t="s">
        <v>4</v>
      </c>
      <c r="B912" s="12">
        <v>44314</v>
      </c>
      <c r="C912" s="1" t="s">
        <v>41</v>
      </c>
      <c r="D912" s="1" t="s">
        <v>46</v>
      </c>
      <c r="E912" s="13">
        <v>2</v>
      </c>
      <c r="F912" s="11">
        <f>DAY(Tabela5[[#This Row],[Data]])</f>
        <v>28</v>
      </c>
      <c r="G9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13" spans="1:7">
      <c r="A913" s="11" t="s">
        <v>4</v>
      </c>
      <c r="B913" s="12">
        <v>44315</v>
      </c>
      <c r="C913" s="1" t="s">
        <v>41</v>
      </c>
      <c r="D913" s="1" t="s">
        <v>46</v>
      </c>
      <c r="E913" s="13">
        <v>2</v>
      </c>
      <c r="F913" s="11">
        <f>DAY(Tabela5[[#This Row],[Data]])</f>
        <v>29</v>
      </c>
      <c r="G9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14" spans="1:7">
      <c r="A914" s="11" t="s">
        <v>4</v>
      </c>
      <c r="B914" s="12">
        <v>44315</v>
      </c>
      <c r="C914" s="1" t="s">
        <v>41</v>
      </c>
      <c r="D914" s="1" t="s">
        <v>46</v>
      </c>
      <c r="E914" s="13">
        <v>1</v>
      </c>
      <c r="F914" s="11">
        <f>DAY(Tabela5[[#This Row],[Data]])</f>
        <v>29</v>
      </c>
      <c r="G9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15" spans="1:7">
      <c r="A915" s="11" t="s">
        <v>4</v>
      </c>
      <c r="B915" s="12">
        <v>44316</v>
      </c>
      <c r="C915" s="1" t="s">
        <v>41</v>
      </c>
      <c r="D915" s="1" t="s">
        <v>46</v>
      </c>
      <c r="E915" s="13">
        <v>1</v>
      </c>
      <c r="F915" s="11">
        <f>DAY(Tabela5[[#This Row],[Data]])</f>
        <v>30</v>
      </c>
      <c r="G9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16" spans="1:7">
      <c r="A916" s="11" t="s">
        <v>4</v>
      </c>
      <c r="B916" s="12">
        <v>44316</v>
      </c>
      <c r="C916" s="1" t="s">
        <v>41</v>
      </c>
      <c r="D916" s="1" t="s">
        <v>46</v>
      </c>
      <c r="E916" s="13">
        <v>2</v>
      </c>
      <c r="F916" s="11">
        <f>DAY(Tabela5[[#This Row],[Data]])</f>
        <v>30</v>
      </c>
      <c r="G9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17" spans="1:7">
      <c r="A917" s="11" t="s">
        <v>4</v>
      </c>
      <c r="B917" s="12">
        <v>44287</v>
      </c>
      <c r="C917" s="1" t="s">
        <v>42</v>
      </c>
      <c r="D917" s="1" t="s">
        <v>46</v>
      </c>
      <c r="E917" s="13">
        <v>2</v>
      </c>
      <c r="F917" s="11">
        <f>DAY(Tabela5[[#This Row],[Data]])</f>
        <v>1</v>
      </c>
      <c r="G9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18" spans="1:7">
      <c r="A918" s="11" t="s">
        <v>4</v>
      </c>
      <c r="B918" s="12">
        <v>44287</v>
      </c>
      <c r="C918" s="1" t="s">
        <v>43</v>
      </c>
      <c r="D918" s="1" t="s">
        <v>46</v>
      </c>
      <c r="E918" s="13">
        <v>2</v>
      </c>
      <c r="F918" s="11">
        <f>DAY(Tabela5[[#This Row],[Data]])</f>
        <v>1</v>
      </c>
      <c r="G9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19" spans="1:7">
      <c r="A919" s="11" t="s">
        <v>4</v>
      </c>
      <c r="B919" s="12">
        <v>44287</v>
      </c>
      <c r="C919" s="1" t="s">
        <v>43</v>
      </c>
      <c r="D919" s="1" t="s">
        <v>46</v>
      </c>
      <c r="E919" s="13">
        <v>1</v>
      </c>
      <c r="F919" s="11">
        <f>DAY(Tabela5[[#This Row],[Data]])</f>
        <v>1</v>
      </c>
      <c r="G9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20" spans="1:7">
      <c r="A920" s="11" t="s">
        <v>4</v>
      </c>
      <c r="B920" s="12">
        <v>44291</v>
      </c>
      <c r="C920" s="1" t="s">
        <v>43</v>
      </c>
      <c r="D920" s="1" t="s">
        <v>46</v>
      </c>
      <c r="E920" s="13">
        <v>2</v>
      </c>
      <c r="F920" s="11">
        <f>DAY(Tabela5[[#This Row],[Data]])</f>
        <v>5</v>
      </c>
      <c r="G9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21" spans="1:7">
      <c r="A921" s="11" t="s">
        <v>4</v>
      </c>
      <c r="B921" s="12">
        <v>44292</v>
      </c>
      <c r="C921" s="1" t="s">
        <v>43</v>
      </c>
      <c r="D921" s="1" t="s">
        <v>46</v>
      </c>
      <c r="E921" s="13">
        <v>1</v>
      </c>
      <c r="F921" s="11">
        <f>DAY(Tabela5[[#This Row],[Data]])</f>
        <v>6</v>
      </c>
      <c r="G9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22" spans="1:7">
      <c r="A922" s="11" t="s">
        <v>4</v>
      </c>
      <c r="B922" s="12">
        <v>44293</v>
      </c>
      <c r="C922" s="1" t="s">
        <v>43</v>
      </c>
      <c r="D922" s="1" t="s">
        <v>46</v>
      </c>
      <c r="E922" s="13">
        <v>2</v>
      </c>
      <c r="F922" s="11">
        <f>DAY(Tabela5[[#This Row],[Data]])</f>
        <v>7</v>
      </c>
      <c r="G9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23" spans="1:7">
      <c r="A923" s="11" t="s">
        <v>4</v>
      </c>
      <c r="B923" s="12">
        <v>44294</v>
      </c>
      <c r="C923" s="1" t="s">
        <v>43</v>
      </c>
      <c r="D923" s="1" t="s">
        <v>46</v>
      </c>
      <c r="E923" s="13">
        <v>2</v>
      </c>
      <c r="F923" s="11">
        <f>DAY(Tabela5[[#This Row],[Data]])</f>
        <v>8</v>
      </c>
      <c r="G9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24" spans="1:7">
      <c r="A924" s="11" t="s">
        <v>4</v>
      </c>
      <c r="B924" s="12">
        <v>44294</v>
      </c>
      <c r="C924" s="1" t="s">
        <v>43</v>
      </c>
      <c r="D924" s="1" t="s">
        <v>46</v>
      </c>
      <c r="E924" s="13">
        <v>2</v>
      </c>
      <c r="F924" s="11">
        <f>DAY(Tabela5[[#This Row],[Data]])</f>
        <v>8</v>
      </c>
      <c r="G9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25" spans="1:7">
      <c r="A925" s="11" t="s">
        <v>4</v>
      </c>
      <c r="B925" s="12">
        <v>44295</v>
      </c>
      <c r="C925" s="1" t="s">
        <v>43</v>
      </c>
      <c r="D925" s="1" t="s">
        <v>46</v>
      </c>
      <c r="E925" s="13">
        <v>1</v>
      </c>
      <c r="F925" s="11">
        <f>DAY(Tabela5[[#This Row],[Data]])</f>
        <v>9</v>
      </c>
      <c r="G9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26" spans="1:7">
      <c r="A926" s="11" t="s">
        <v>4</v>
      </c>
      <c r="B926" s="12">
        <v>44296</v>
      </c>
      <c r="C926" s="1" t="s">
        <v>43</v>
      </c>
      <c r="D926" s="1" t="s">
        <v>46</v>
      </c>
      <c r="E926" s="13">
        <v>2</v>
      </c>
      <c r="F926" s="11">
        <f>DAY(Tabela5[[#This Row],[Data]])</f>
        <v>10</v>
      </c>
      <c r="G9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927" spans="1:7">
      <c r="A927" s="11" t="s">
        <v>4</v>
      </c>
      <c r="B927" s="12">
        <v>44296</v>
      </c>
      <c r="C927" s="1" t="s">
        <v>43</v>
      </c>
      <c r="D927" s="1" t="s">
        <v>46</v>
      </c>
      <c r="E927" s="13">
        <v>2</v>
      </c>
      <c r="F927" s="11">
        <f>DAY(Tabela5[[#This Row],[Data]])</f>
        <v>10</v>
      </c>
      <c r="G9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928" spans="1:7">
      <c r="A928" s="11" t="s">
        <v>4</v>
      </c>
      <c r="B928" s="12">
        <v>44296</v>
      </c>
      <c r="C928" s="1" t="s">
        <v>43</v>
      </c>
      <c r="D928" s="1" t="s">
        <v>46</v>
      </c>
      <c r="E928" s="13">
        <v>2</v>
      </c>
      <c r="F928" s="11">
        <f>DAY(Tabela5[[#This Row],[Data]])</f>
        <v>10</v>
      </c>
      <c r="G9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929" spans="1:7">
      <c r="A929" s="11" t="s">
        <v>4</v>
      </c>
      <c r="B929" s="12">
        <v>44296</v>
      </c>
      <c r="C929" s="1" t="s">
        <v>43</v>
      </c>
      <c r="D929" s="1" t="s">
        <v>46</v>
      </c>
      <c r="E929" s="13">
        <v>2</v>
      </c>
      <c r="F929" s="11">
        <f>DAY(Tabela5[[#This Row],[Data]])</f>
        <v>10</v>
      </c>
      <c r="G9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930" spans="1:7">
      <c r="A930" s="11" t="s">
        <v>4</v>
      </c>
      <c r="B930" s="12">
        <v>44298</v>
      </c>
      <c r="C930" s="1" t="s">
        <v>43</v>
      </c>
      <c r="D930" s="1" t="s">
        <v>46</v>
      </c>
      <c r="E930" s="13">
        <v>2</v>
      </c>
      <c r="F930" s="11">
        <f>DAY(Tabela5[[#This Row],[Data]])</f>
        <v>12</v>
      </c>
      <c r="G9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31" spans="1:7">
      <c r="A931" s="11" t="s">
        <v>4</v>
      </c>
      <c r="B931" s="12">
        <v>44298</v>
      </c>
      <c r="C931" s="1" t="s">
        <v>43</v>
      </c>
      <c r="D931" s="1" t="s">
        <v>46</v>
      </c>
      <c r="E931" s="13">
        <v>2</v>
      </c>
      <c r="F931" s="11">
        <f>DAY(Tabela5[[#This Row],[Data]])</f>
        <v>12</v>
      </c>
      <c r="G9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32" spans="1:7">
      <c r="A932" s="11" t="s">
        <v>4</v>
      </c>
      <c r="B932" s="12">
        <v>44299</v>
      </c>
      <c r="C932" s="1" t="s">
        <v>43</v>
      </c>
      <c r="D932" s="1" t="s">
        <v>46</v>
      </c>
      <c r="E932" s="13">
        <v>1</v>
      </c>
      <c r="F932" s="11">
        <f>DAY(Tabela5[[#This Row],[Data]])</f>
        <v>13</v>
      </c>
      <c r="G9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33" spans="1:7">
      <c r="A933" s="11" t="s">
        <v>4</v>
      </c>
      <c r="B933" s="12">
        <v>44300</v>
      </c>
      <c r="C933" s="1" t="s">
        <v>43</v>
      </c>
      <c r="D933" s="1" t="s">
        <v>46</v>
      </c>
      <c r="E933" s="13">
        <v>2</v>
      </c>
      <c r="F933" s="11">
        <f>DAY(Tabela5[[#This Row],[Data]])</f>
        <v>14</v>
      </c>
      <c r="G9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34" spans="1:7">
      <c r="A934" s="11" t="s">
        <v>4</v>
      </c>
      <c r="B934" s="12">
        <v>44301</v>
      </c>
      <c r="C934" s="1" t="s">
        <v>43</v>
      </c>
      <c r="D934" s="1" t="s">
        <v>46</v>
      </c>
      <c r="E934" s="13">
        <v>2</v>
      </c>
      <c r="F934" s="11">
        <f>DAY(Tabela5[[#This Row],[Data]])</f>
        <v>15</v>
      </c>
      <c r="G9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35" spans="1:7">
      <c r="A935" s="11" t="s">
        <v>4</v>
      </c>
      <c r="B935" s="12">
        <v>44302</v>
      </c>
      <c r="C935" s="1" t="s">
        <v>43</v>
      </c>
      <c r="D935" s="1" t="s">
        <v>46</v>
      </c>
      <c r="E935" s="13">
        <v>2</v>
      </c>
      <c r="F935" s="11">
        <f>DAY(Tabela5[[#This Row],[Data]])</f>
        <v>16</v>
      </c>
      <c r="G9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36" spans="1:7">
      <c r="A936" s="11" t="s">
        <v>4</v>
      </c>
      <c r="B936" s="12">
        <v>44305</v>
      </c>
      <c r="C936" s="1" t="s">
        <v>43</v>
      </c>
      <c r="D936" s="1" t="s">
        <v>46</v>
      </c>
      <c r="E936" s="13">
        <v>1</v>
      </c>
      <c r="F936" s="11">
        <f>DAY(Tabela5[[#This Row],[Data]])</f>
        <v>19</v>
      </c>
      <c r="G9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37" spans="1:7">
      <c r="A937" s="11" t="s">
        <v>4</v>
      </c>
      <c r="B937" s="12">
        <v>44305</v>
      </c>
      <c r="C937" s="1" t="s">
        <v>43</v>
      </c>
      <c r="D937" s="1" t="s">
        <v>46</v>
      </c>
      <c r="E937" s="13">
        <v>1</v>
      </c>
      <c r="F937" s="11">
        <f>DAY(Tabela5[[#This Row],[Data]])</f>
        <v>19</v>
      </c>
      <c r="G9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38" spans="1:7">
      <c r="A938" s="11" t="s">
        <v>4</v>
      </c>
      <c r="B938" s="12">
        <v>44306</v>
      </c>
      <c r="C938" s="1" t="s">
        <v>43</v>
      </c>
      <c r="D938" s="1" t="s">
        <v>46</v>
      </c>
      <c r="E938" s="13">
        <v>1</v>
      </c>
      <c r="F938" s="11">
        <f>DAY(Tabela5[[#This Row],[Data]])</f>
        <v>20</v>
      </c>
      <c r="G9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39" spans="1:7">
      <c r="A939" s="11" t="s">
        <v>4</v>
      </c>
      <c r="B939" s="12">
        <v>44306</v>
      </c>
      <c r="C939" s="1" t="s">
        <v>43</v>
      </c>
      <c r="D939" s="1" t="s">
        <v>46</v>
      </c>
      <c r="E939" s="13">
        <v>2</v>
      </c>
      <c r="F939" s="11">
        <f>DAY(Tabela5[[#This Row],[Data]])</f>
        <v>20</v>
      </c>
      <c r="G9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40" spans="1:7">
      <c r="A940" s="11" t="s">
        <v>4</v>
      </c>
      <c r="B940" s="12">
        <v>44307</v>
      </c>
      <c r="C940" s="1" t="s">
        <v>43</v>
      </c>
      <c r="D940" s="1" t="s">
        <v>46</v>
      </c>
      <c r="E940" s="13">
        <v>2</v>
      </c>
      <c r="F940" s="11">
        <f>DAY(Tabela5[[#This Row],[Data]])</f>
        <v>21</v>
      </c>
      <c r="G9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41" spans="1:7">
      <c r="A941" s="11" t="s">
        <v>4</v>
      </c>
      <c r="B941" s="12">
        <v>44308</v>
      </c>
      <c r="C941" s="1" t="s">
        <v>43</v>
      </c>
      <c r="D941" s="1" t="s">
        <v>46</v>
      </c>
      <c r="E941" s="13">
        <v>1</v>
      </c>
      <c r="F941" s="11">
        <f>DAY(Tabela5[[#This Row],[Data]])</f>
        <v>22</v>
      </c>
      <c r="G9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42" spans="1:7">
      <c r="A942" s="11" t="s">
        <v>4</v>
      </c>
      <c r="B942" s="12">
        <v>44309</v>
      </c>
      <c r="C942" s="1" t="s">
        <v>43</v>
      </c>
      <c r="D942" s="1" t="s">
        <v>46</v>
      </c>
      <c r="E942" s="13">
        <v>1</v>
      </c>
      <c r="F942" s="11">
        <f>DAY(Tabela5[[#This Row],[Data]])</f>
        <v>23</v>
      </c>
      <c r="G9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43" spans="1:7">
      <c r="A943" s="11" t="s">
        <v>4</v>
      </c>
      <c r="B943" s="12">
        <v>44310</v>
      </c>
      <c r="C943" s="1" t="s">
        <v>43</v>
      </c>
      <c r="D943" s="1" t="s">
        <v>46</v>
      </c>
      <c r="E943" s="13">
        <v>2</v>
      </c>
      <c r="F943" s="11">
        <f>DAY(Tabela5[[#This Row],[Data]])</f>
        <v>24</v>
      </c>
      <c r="G9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944" spans="1:7">
      <c r="A944" s="11" t="s">
        <v>4</v>
      </c>
      <c r="B944" s="12">
        <v>44310</v>
      </c>
      <c r="C944" s="1" t="s">
        <v>43</v>
      </c>
      <c r="D944" s="1" t="s">
        <v>46</v>
      </c>
      <c r="E944" s="13">
        <v>1</v>
      </c>
      <c r="F944" s="11">
        <f>DAY(Tabela5[[#This Row],[Data]])</f>
        <v>24</v>
      </c>
      <c r="G9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945" spans="1:7">
      <c r="A945" s="11" t="s">
        <v>4</v>
      </c>
      <c r="B945" s="12">
        <v>44312</v>
      </c>
      <c r="C945" s="1" t="s">
        <v>43</v>
      </c>
      <c r="D945" s="1" t="s">
        <v>46</v>
      </c>
      <c r="E945" s="13">
        <v>1</v>
      </c>
      <c r="F945" s="11">
        <f>DAY(Tabela5[[#This Row],[Data]])</f>
        <v>26</v>
      </c>
      <c r="G9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46" spans="1:7">
      <c r="A946" s="11" t="s">
        <v>4</v>
      </c>
      <c r="B946" s="12">
        <v>44313</v>
      </c>
      <c r="C946" s="1" t="s">
        <v>43</v>
      </c>
      <c r="D946" s="1" t="s">
        <v>46</v>
      </c>
      <c r="E946" s="13">
        <v>1</v>
      </c>
      <c r="F946" s="11">
        <f>DAY(Tabela5[[#This Row],[Data]])</f>
        <v>27</v>
      </c>
      <c r="G9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47" spans="1:7">
      <c r="A947" s="11" t="s">
        <v>4</v>
      </c>
      <c r="B947" s="12">
        <v>44313</v>
      </c>
      <c r="C947" s="1" t="s">
        <v>43</v>
      </c>
      <c r="D947" s="1" t="s">
        <v>46</v>
      </c>
      <c r="E947" s="13">
        <v>2</v>
      </c>
      <c r="F947" s="11">
        <f>DAY(Tabela5[[#This Row],[Data]])</f>
        <v>27</v>
      </c>
      <c r="G9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48" spans="1:7">
      <c r="A948" s="11" t="s">
        <v>4</v>
      </c>
      <c r="B948" s="12">
        <v>44313</v>
      </c>
      <c r="C948" s="1" t="s">
        <v>43</v>
      </c>
      <c r="D948" s="1" t="s">
        <v>46</v>
      </c>
      <c r="E948" s="13">
        <v>2</v>
      </c>
      <c r="F948" s="11">
        <f>DAY(Tabela5[[#This Row],[Data]])</f>
        <v>27</v>
      </c>
      <c r="G9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49" spans="1:7">
      <c r="A949" s="11" t="s">
        <v>4</v>
      </c>
      <c r="B949" s="12">
        <v>44313</v>
      </c>
      <c r="C949" s="1" t="s">
        <v>43</v>
      </c>
      <c r="D949" s="1" t="s">
        <v>46</v>
      </c>
      <c r="E949" s="13">
        <v>2</v>
      </c>
      <c r="F949" s="11">
        <f>DAY(Tabela5[[#This Row],[Data]])</f>
        <v>27</v>
      </c>
      <c r="G9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50" spans="1:7">
      <c r="A950" s="11" t="s">
        <v>4</v>
      </c>
      <c r="B950" s="12">
        <v>44314</v>
      </c>
      <c r="C950" s="1" t="s">
        <v>43</v>
      </c>
      <c r="D950" s="1" t="s">
        <v>46</v>
      </c>
      <c r="E950" s="13">
        <v>2</v>
      </c>
      <c r="F950" s="11">
        <f>DAY(Tabela5[[#This Row],[Data]])</f>
        <v>28</v>
      </c>
      <c r="G9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51" spans="1:7">
      <c r="A951" s="11" t="s">
        <v>4</v>
      </c>
      <c r="B951" s="12">
        <v>44314</v>
      </c>
      <c r="C951" s="1" t="s">
        <v>43</v>
      </c>
      <c r="D951" s="1" t="s">
        <v>46</v>
      </c>
      <c r="E951" s="13">
        <v>2</v>
      </c>
      <c r="F951" s="11">
        <f>DAY(Tabela5[[#This Row],[Data]])</f>
        <v>28</v>
      </c>
      <c r="G9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52" spans="1:7">
      <c r="A952" s="11" t="s">
        <v>4</v>
      </c>
      <c r="B952" s="12">
        <v>44315</v>
      </c>
      <c r="C952" s="1" t="s">
        <v>43</v>
      </c>
      <c r="D952" s="1" t="s">
        <v>46</v>
      </c>
      <c r="E952" s="13">
        <v>1</v>
      </c>
      <c r="F952" s="11">
        <f>DAY(Tabela5[[#This Row],[Data]])</f>
        <v>29</v>
      </c>
      <c r="G9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53" spans="1:7">
      <c r="A953" s="11" t="s">
        <v>4</v>
      </c>
      <c r="B953" s="12">
        <v>44316</v>
      </c>
      <c r="C953" s="1" t="s">
        <v>43</v>
      </c>
      <c r="D953" s="1" t="s">
        <v>46</v>
      </c>
      <c r="E953" s="13">
        <v>1</v>
      </c>
      <c r="F953" s="11">
        <f>DAY(Tabela5[[#This Row],[Data]])</f>
        <v>30</v>
      </c>
      <c r="G9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54" spans="1:7">
      <c r="A954" s="11" t="s">
        <v>4</v>
      </c>
      <c r="B954" s="12">
        <v>44316</v>
      </c>
      <c r="C954" s="1" t="s">
        <v>43</v>
      </c>
      <c r="D954" s="1" t="s">
        <v>46</v>
      </c>
      <c r="E954" s="13">
        <v>1</v>
      </c>
      <c r="F954" s="11">
        <f>DAY(Tabela5[[#This Row],[Data]])</f>
        <v>30</v>
      </c>
      <c r="G9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55" spans="1:7">
      <c r="A955" s="11" t="s">
        <v>4</v>
      </c>
      <c r="B955" s="12">
        <v>44287</v>
      </c>
      <c r="C955" s="1" t="s">
        <v>17</v>
      </c>
      <c r="D955" s="1" t="s">
        <v>46</v>
      </c>
      <c r="E955" s="13">
        <v>1</v>
      </c>
      <c r="F955" s="11">
        <f>DAY(Tabela5[[#This Row],[Data]])</f>
        <v>1</v>
      </c>
      <c r="G9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56" spans="1:7">
      <c r="A956" s="11" t="s">
        <v>4</v>
      </c>
      <c r="B956" s="12">
        <v>44287</v>
      </c>
      <c r="C956" s="1" t="s">
        <v>17</v>
      </c>
      <c r="D956" s="1" t="s">
        <v>46</v>
      </c>
      <c r="E956" s="13">
        <v>1</v>
      </c>
      <c r="F956" s="11">
        <f>DAY(Tabela5[[#This Row],[Data]])</f>
        <v>1</v>
      </c>
      <c r="G9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57" spans="1:7">
      <c r="A957" s="11" t="s">
        <v>4</v>
      </c>
      <c r="B957" s="12">
        <v>44291</v>
      </c>
      <c r="C957" s="1" t="s">
        <v>17</v>
      </c>
      <c r="D957" s="1" t="s">
        <v>46</v>
      </c>
      <c r="E957" s="13">
        <v>2</v>
      </c>
      <c r="F957" s="11">
        <f>DAY(Tabela5[[#This Row],[Data]])</f>
        <v>5</v>
      </c>
      <c r="G9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58" spans="1:7">
      <c r="A958" s="11" t="s">
        <v>4</v>
      </c>
      <c r="B958" s="12">
        <v>44292</v>
      </c>
      <c r="C958" s="1" t="s">
        <v>17</v>
      </c>
      <c r="D958" s="1" t="s">
        <v>46</v>
      </c>
      <c r="E958" s="13">
        <v>1</v>
      </c>
      <c r="F958" s="11">
        <f>DAY(Tabela5[[#This Row],[Data]])</f>
        <v>6</v>
      </c>
      <c r="G9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59" spans="1:7">
      <c r="A959" s="11" t="s">
        <v>4</v>
      </c>
      <c r="B959" s="12">
        <v>44293</v>
      </c>
      <c r="C959" s="1" t="s">
        <v>17</v>
      </c>
      <c r="D959" s="1" t="s">
        <v>46</v>
      </c>
      <c r="E959" s="13">
        <v>1</v>
      </c>
      <c r="F959" s="11">
        <f>DAY(Tabela5[[#This Row],[Data]])</f>
        <v>7</v>
      </c>
      <c r="G9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60" spans="1:7">
      <c r="A960" s="11" t="s">
        <v>4</v>
      </c>
      <c r="B960" s="12">
        <v>44294</v>
      </c>
      <c r="C960" s="1" t="s">
        <v>17</v>
      </c>
      <c r="D960" s="1" t="s">
        <v>46</v>
      </c>
      <c r="E960" s="13">
        <v>2</v>
      </c>
      <c r="F960" s="11">
        <f>DAY(Tabela5[[#This Row],[Data]])</f>
        <v>8</v>
      </c>
      <c r="G9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61" spans="1:7">
      <c r="A961" s="11" t="s">
        <v>4</v>
      </c>
      <c r="B961" s="12">
        <v>44295</v>
      </c>
      <c r="C961" s="1" t="s">
        <v>17</v>
      </c>
      <c r="D961" s="1" t="s">
        <v>46</v>
      </c>
      <c r="E961" s="13">
        <v>2</v>
      </c>
      <c r="F961" s="11">
        <f>DAY(Tabela5[[#This Row],[Data]])</f>
        <v>9</v>
      </c>
      <c r="G9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62" spans="1:7">
      <c r="A962" s="11" t="s">
        <v>4</v>
      </c>
      <c r="B962" s="12">
        <v>44298</v>
      </c>
      <c r="C962" s="1" t="s">
        <v>17</v>
      </c>
      <c r="D962" s="1" t="s">
        <v>46</v>
      </c>
      <c r="E962" s="13">
        <v>1</v>
      </c>
      <c r="F962" s="11">
        <f>DAY(Tabela5[[#This Row],[Data]])</f>
        <v>12</v>
      </c>
      <c r="G9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63" spans="1:7">
      <c r="A963" s="11" t="s">
        <v>4</v>
      </c>
      <c r="B963" s="12">
        <v>44298</v>
      </c>
      <c r="C963" s="1" t="s">
        <v>17</v>
      </c>
      <c r="D963" s="1" t="s">
        <v>46</v>
      </c>
      <c r="E963" s="13">
        <v>1</v>
      </c>
      <c r="F963" s="11">
        <f>DAY(Tabela5[[#This Row],[Data]])</f>
        <v>12</v>
      </c>
      <c r="G9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64" spans="1:7">
      <c r="A964" s="11" t="s">
        <v>4</v>
      </c>
      <c r="B964" s="12">
        <v>44299</v>
      </c>
      <c r="C964" s="1" t="s">
        <v>17</v>
      </c>
      <c r="D964" s="1" t="s">
        <v>46</v>
      </c>
      <c r="E964" s="13">
        <v>2</v>
      </c>
      <c r="F964" s="11">
        <f>DAY(Tabela5[[#This Row],[Data]])</f>
        <v>13</v>
      </c>
      <c r="G9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65" spans="1:7">
      <c r="A965" s="11" t="s">
        <v>4</v>
      </c>
      <c r="B965" s="12">
        <v>44300</v>
      </c>
      <c r="C965" s="1" t="s">
        <v>17</v>
      </c>
      <c r="D965" s="1" t="s">
        <v>46</v>
      </c>
      <c r="E965" s="13">
        <v>2</v>
      </c>
      <c r="F965" s="11">
        <f>DAY(Tabela5[[#This Row],[Data]])</f>
        <v>14</v>
      </c>
      <c r="G9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66" spans="1:7">
      <c r="A966" s="11" t="s">
        <v>4</v>
      </c>
      <c r="B966" s="12">
        <v>44301</v>
      </c>
      <c r="C966" s="1" t="s">
        <v>17</v>
      </c>
      <c r="D966" s="1" t="s">
        <v>46</v>
      </c>
      <c r="E966" s="13">
        <v>1</v>
      </c>
      <c r="F966" s="11">
        <f>DAY(Tabela5[[#This Row],[Data]])</f>
        <v>15</v>
      </c>
      <c r="G9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67" spans="1:7">
      <c r="A967" s="11" t="s">
        <v>4</v>
      </c>
      <c r="B967" s="12">
        <v>44302</v>
      </c>
      <c r="C967" s="1" t="s">
        <v>17</v>
      </c>
      <c r="D967" s="1" t="s">
        <v>46</v>
      </c>
      <c r="E967" s="13">
        <v>1</v>
      </c>
      <c r="F967" s="11">
        <f>DAY(Tabela5[[#This Row],[Data]])</f>
        <v>16</v>
      </c>
      <c r="G9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68" spans="1:7">
      <c r="A968" s="11" t="s">
        <v>4</v>
      </c>
      <c r="B968" s="12">
        <v>44305</v>
      </c>
      <c r="C968" s="1" t="s">
        <v>17</v>
      </c>
      <c r="D968" s="1" t="s">
        <v>46</v>
      </c>
      <c r="E968" s="13">
        <v>1</v>
      </c>
      <c r="F968" s="11">
        <f>DAY(Tabela5[[#This Row],[Data]])</f>
        <v>19</v>
      </c>
      <c r="G9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69" spans="1:7">
      <c r="A969" s="11" t="s">
        <v>4</v>
      </c>
      <c r="B969" s="12">
        <v>44306</v>
      </c>
      <c r="C969" s="1" t="s">
        <v>17</v>
      </c>
      <c r="D969" s="1" t="s">
        <v>46</v>
      </c>
      <c r="E969" s="13">
        <v>1</v>
      </c>
      <c r="F969" s="11">
        <f>DAY(Tabela5[[#This Row],[Data]])</f>
        <v>20</v>
      </c>
      <c r="G9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70" spans="1:7">
      <c r="A970" s="11" t="s">
        <v>4</v>
      </c>
      <c r="B970" s="12">
        <v>44308</v>
      </c>
      <c r="C970" s="1" t="s">
        <v>17</v>
      </c>
      <c r="D970" s="1" t="s">
        <v>46</v>
      </c>
      <c r="E970" s="13">
        <v>1</v>
      </c>
      <c r="F970" s="11">
        <f>DAY(Tabela5[[#This Row],[Data]])</f>
        <v>22</v>
      </c>
      <c r="G9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71" spans="1:7">
      <c r="A971" s="11" t="s">
        <v>4</v>
      </c>
      <c r="B971" s="12">
        <v>44309</v>
      </c>
      <c r="C971" s="1" t="s">
        <v>17</v>
      </c>
      <c r="D971" s="1" t="s">
        <v>46</v>
      </c>
      <c r="E971" s="13">
        <v>1</v>
      </c>
      <c r="F971" s="11">
        <f>DAY(Tabela5[[#This Row],[Data]])</f>
        <v>23</v>
      </c>
      <c r="G9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72" spans="1:7">
      <c r="A972" s="11" t="s">
        <v>4</v>
      </c>
      <c r="B972" s="12">
        <v>44312</v>
      </c>
      <c r="C972" s="1" t="s">
        <v>17</v>
      </c>
      <c r="D972" s="1" t="s">
        <v>46</v>
      </c>
      <c r="E972" s="13">
        <v>2</v>
      </c>
      <c r="F972" s="11">
        <f>DAY(Tabela5[[#This Row],[Data]])</f>
        <v>26</v>
      </c>
      <c r="G9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73" spans="1:7">
      <c r="A973" s="11" t="s">
        <v>4</v>
      </c>
      <c r="B973" s="12">
        <v>44313</v>
      </c>
      <c r="C973" s="1" t="s">
        <v>17</v>
      </c>
      <c r="D973" s="1" t="s">
        <v>46</v>
      </c>
      <c r="E973" s="13">
        <v>1</v>
      </c>
      <c r="F973" s="11">
        <f>DAY(Tabela5[[#This Row],[Data]])</f>
        <v>27</v>
      </c>
      <c r="G9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74" spans="1:7">
      <c r="A974" s="11" t="s">
        <v>4</v>
      </c>
      <c r="B974" s="12">
        <v>44314</v>
      </c>
      <c r="C974" s="1" t="s">
        <v>17</v>
      </c>
      <c r="D974" s="1" t="s">
        <v>46</v>
      </c>
      <c r="E974" s="13">
        <v>2</v>
      </c>
      <c r="F974" s="11">
        <f>DAY(Tabela5[[#This Row],[Data]])</f>
        <v>28</v>
      </c>
      <c r="G9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75" spans="1:7">
      <c r="A975" s="11" t="s">
        <v>4</v>
      </c>
      <c r="B975" s="12">
        <v>44315</v>
      </c>
      <c r="C975" s="1" t="s">
        <v>17</v>
      </c>
      <c r="D975" s="1" t="s">
        <v>46</v>
      </c>
      <c r="E975" s="13">
        <v>1</v>
      </c>
      <c r="F975" s="11">
        <f>DAY(Tabela5[[#This Row],[Data]])</f>
        <v>29</v>
      </c>
      <c r="G9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76" spans="1:7">
      <c r="A976" s="11" t="s">
        <v>4</v>
      </c>
      <c r="B976" s="12">
        <v>44316</v>
      </c>
      <c r="C976" s="1" t="s">
        <v>17</v>
      </c>
      <c r="D976" s="1" t="s">
        <v>46</v>
      </c>
      <c r="E976" s="13">
        <v>1</v>
      </c>
      <c r="F976" s="11">
        <f>DAY(Tabela5[[#This Row],[Data]])</f>
        <v>30</v>
      </c>
      <c r="G9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77" spans="1:7">
      <c r="A977" s="11" t="s">
        <v>4</v>
      </c>
      <c r="B977" s="12">
        <v>44316</v>
      </c>
      <c r="C977" s="1" t="s">
        <v>17</v>
      </c>
      <c r="D977" s="1" t="s">
        <v>46</v>
      </c>
      <c r="E977" s="13">
        <v>1</v>
      </c>
      <c r="F977" s="11">
        <f>DAY(Tabela5[[#This Row],[Data]])</f>
        <v>30</v>
      </c>
      <c r="G9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78" spans="1:7">
      <c r="A978" s="11" t="s">
        <v>4</v>
      </c>
      <c r="B978" s="12">
        <v>44287</v>
      </c>
      <c r="C978" s="1" t="s">
        <v>30</v>
      </c>
      <c r="D978" s="1" t="s">
        <v>46</v>
      </c>
      <c r="E978" s="13">
        <v>2</v>
      </c>
      <c r="F978" s="11">
        <f>DAY(Tabela5[[#This Row],[Data]])</f>
        <v>1</v>
      </c>
      <c r="G9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79" spans="1:7">
      <c r="A979" s="11" t="s">
        <v>4</v>
      </c>
      <c r="B979" s="12">
        <v>44291</v>
      </c>
      <c r="C979" s="1" t="s">
        <v>30</v>
      </c>
      <c r="D979" s="1" t="s">
        <v>46</v>
      </c>
      <c r="E979" s="13">
        <v>1</v>
      </c>
      <c r="F979" s="11">
        <f>DAY(Tabela5[[#This Row],[Data]])</f>
        <v>5</v>
      </c>
      <c r="G9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80" spans="1:7">
      <c r="A980" s="11" t="s">
        <v>4</v>
      </c>
      <c r="B980" s="12">
        <v>44292</v>
      </c>
      <c r="C980" s="1" t="s">
        <v>30</v>
      </c>
      <c r="D980" s="1" t="s">
        <v>46</v>
      </c>
      <c r="E980" s="13">
        <v>1</v>
      </c>
      <c r="F980" s="11">
        <f>DAY(Tabela5[[#This Row],[Data]])</f>
        <v>6</v>
      </c>
      <c r="G9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81" spans="1:7">
      <c r="A981" s="11" t="s">
        <v>4</v>
      </c>
      <c r="B981" s="12">
        <v>44293</v>
      </c>
      <c r="C981" s="1" t="s">
        <v>30</v>
      </c>
      <c r="D981" s="1" t="s">
        <v>46</v>
      </c>
      <c r="E981" s="13">
        <v>1</v>
      </c>
      <c r="F981" s="11">
        <f>DAY(Tabela5[[#This Row],[Data]])</f>
        <v>7</v>
      </c>
      <c r="G9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82" spans="1:7">
      <c r="A982" s="11" t="s">
        <v>4</v>
      </c>
      <c r="B982" s="12">
        <v>44294</v>
      </c>
      <c r="C982" s="1" t="s">
        <v>30</v>
      </c>
      <c r="D982" s="1" t="s">
        <v>46</v>
      </c>
      <c r="E982" s="13">
        <v>1</v>
      </c>
      <c r="F982" s="11">
        <f>DAY(Tabela5[[#This Row],[Data]])</f>
        <v>8</v>
      </c>
      <c r="G9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83" spans="1:7">
      <c r="A983" s="11" t="s">
        <v>4</v>
      </c>
      <c r="B983" s="12">
        <v>44295</v>
      </c>
      <c r="C983" s="1" t="s">
        <v>30</v>
      </c>
      <c r="D983" s="1" t="s">
        <v>46</v>
      </c>
      <c r="E983" s="13">
        <v>1</v>
      </c>
      <c r="F983" s="11">
        <f>DAY(Tabela5[[#This Row],[Data]])</f>
        <v>9</v>
      </c>
      <c r="G9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84" spans="1:7">
      <c r="A984" s="11" t="s">
        <v>4</v>
      </c>
      <c r="B984" s="12">
        <v>44298</v>
      </c>
      <c r="C984" s="1" t="s">
        <v>30</v>
      </c>
      <c r="D984" s="1" t="s">
        <v>46</v>
      </c>
      <c r="E984" s="13">
        <v>1</v>
      </c>
      <c r="F984" s="11">
        <f>DAY(Tabela5[[#This Row],[Data]])</f>
        <v>12</v>
      </c>
      <c r="G9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85" spans="1:7">
      <c r="A985" s="11" t="s">
        <v>4</v>
      </c>
      <c r="B985" s="12">
        <v>44298</v>
      </c>
      <c r="C985" s="1" t="s">
        <v>30</v>
      </c>
      <c r="D985" s="1" t="s">
        <v>46</v>
      </c>
      <c r="E985" s="13">
        <v>2</v>
      </c>
      <c r="F985" s="11">
        <f>DAY(Tabela5[[#This Row],[Data]])</f>
        <v>12</v>
      </c>
      <c r="G9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86" spans="1:7">
      <c r="A986" s="11" t="s">
        <v>4</v>
      </c>
      <c r="B986" s="12">
        <v>44299</v>
      </c>
      <c r="C986" s="1" t="s">
        <v>30</v>
      </c>
      <c r="D986" s="1" t="s">
        <v>46</v>
      </c>
      <c r="E986" s="13">
        <v>2</v>
      </c>
      <c r="F986" s="11">
        <f>DAY(Tabela5[[#This Row],[Data]])</f>
        <v>13</v>
      </c>
      <c r="G9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87" spans="1:7">
      <c r="A987" s="11" t="s">
        <v>4</v>
      </c>
      <c r="B987" s="12">
        <v>44300</v>
      </c>
      <c r="C987" s="1" t="s">
        <v>30</v>
      </c>
      <c r="D987" s="1" t="s">
        <v>46</v>
      </c>
      <c r="E987" s="13">
        <v>2</v>
      </c>
      <c r="F987" s="11">
        <f>DAY(Tabela5[[#This Row],[Data]])</f>
        <v>14</v>
      </c>
      <c r="G9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88" spans="1:7">
      <c r="A988" s="11" t="s">
        <v>4</v>
      </c>
      <c r="B988" s="12">
        <v>44301</v>
      </c>
      <c r="C988" s="1" t="s">
        <v>30</v>
      </c>
      <c r="D988" s="1" t="s">
        <v>46</v>
      </c>
      <c r="E988" s="13">
        <v>2</v>
      </c>
      <c r="F988" s="11">
        <f>DAY(Tabela5[[#This Row],[Data]])</f>
        <v>15</v>
      </c>
      <c r="G9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89" spans="1:7">
      <c r="A989" s="11" t="s">
        <v>4</v>
      </c>
      <c r="B989" s="12">
        <v>44302</v>
      </c>
      <c r="C989" s="1" t="s">
        <v>30</v>
      </c>
      <c r="D989" s="1" t="s">
        <v>46</v>
      </c>
      <c r="E989" s="13">
        <v>2</v>
      </c>
      <c r="F989" s="11">
        <f>DAY(Tabela5[[#This Row],[Data]])</f>
        <v>16</v>
      </c>
      <c r="G9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90" spans="1:7">
      <c r="A990" s="11" t="s">
        <v>4</v>
      </c>
      <c r="B990" s="12">
        <v>44305</v>
      </c>
      <c r="C990" s="1" t="s">
        <v>30</v>
      </c>
      <c r="D990" s="1" t="s">
        <v>46</v>
      </c>
      <c r="E990" s="13">
        <v>1</v>
      </c>
      <c r="F990" s="11">
        <f>DAY(Tabela5[[#This Row],[Data]])</f>
        <v>19</v>
      </c>
      <c r="G9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91" spans="1:7">
      <c r="A991" s="11" t="s">
        <v>4</v>
      </c>
      <c r="B991" s="12">
        <v>44306</v>
      </c>
      <c r="C991" s="1" t="s">
        <v>30</v>
      </c>
      <c r="D991" s="1" t="s">
        <v>46</v>
      </c>
      <c r="E991" s="13">
        <v>1</v>
      </c>
      <c r="F991" s="11">
        <f>DAY(Tabela5[[#This Row],[Data]])</f>
        <v>20</v>
      </c>
      <c r="G9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92" spans="1:7">
      <c r="A992" s="11" t="s">
        <v>4</v>
      </c>
      <c r="B992" s="12">
        <v>44308</v>
      </c>
      <c r="C992" s="1" t="s">
        <v>30</v>
      </c>
      <c r="D992" s="1" t="s">
        <v>46</v>
      </c>
      <c r="E992" s="13">
        <v>1</v>
      </c>
      <c r="F992" s="11">
        <f>DAY(Tabela5[[#This Row],[Data]])</f>
        <v>22</v>
      </c>
      <c r="G9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93" spans="1:7">
      <c r="A993" s="11" t="s">
        <v>4</v>
      </c>
      <c r="B993" s="12">
        <v>44309</v>
      </c>
      <c r="C993" s="1" t="s">
        <v>30</v>
      </c>
      <c r="D993" s="1" t="s">
        <v>46</v>
      </c>
      <c r="E993" s="13">
        <v>2</v>
      </c>
      <c r="F993" s="11">
        <f>DAY(Tabela5[[#This Row],[Data]])</f>
        <v>23</v>
      </c>
      <c r="G9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94" spans="1:7">
      <c r="A994" s="11" t="s">
        <v>4</v>
      </c>
      <c r="B994" s="12">
        <v>44312</v>
      </c>
      <c r="C994" s="1" t="s">
        <v>30</v>
      </c>
      <c r="D994" s="1" t="s">
        <v>46</v>
      </c>
      <c r="E994" s="13">
        <v>1</v>
      </c>
      <c r="F994" s="11">
        <f>DAY(Tabela5[[#This Row],[Data]])</f>
        <v>26</v>
      </c>
      <c r="G9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995" spans="1:7">
      <c r="A995" s="11" t="s">
        <v>4</v>
      </c>
      <c r="B995" s="12">
        <v>44313</v>
      </c>
      <c r="C995" s="1" t="s">
        <v>30</v>
      </c>
      <c r="D995" s="1" t="s">
        <v>46</v>
      </c>
      <c r="E995" s="13">
        <v>1</v>
      </c>
      <c r="F995" s="11">
        <f>DAY(Tabela5[[#This Row],[Data]])</f>
        <v>27</v>
      </c>
      <c r="G9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996" spans="1:7">
      <c r="A996" s="11" t="s">
        <v>4</v>
      </c>
      <c r="B996" s="12">
        <v>44314</v>
      </c>
      <c r="C996" s="1" t="s">
        <v>30</v>
      </c>
      <c r="D996" s="1" t="s">
        <v>46</v>
      </c>
      <c r="E996" s="13">
        <v>1</v>
      </c>
      <c r="F996" s="11">
        <f>DAY(Tabela5[[#This Row],[Data]])</f>
        <v>28</v>
      </c>
      <c r="G9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997" spans="1:7">
      <c r="A997" s="11" t="s">
        <v>4</v>
      </c>
      <c r="B997" s="12">
        <v>44315</v>
      </c>
      <c r="C997" s="1" t="s">
        <v>30</v>
      </c>
      <c r="D997" s="1" t="s">
        <v>46</v>
      </c>
      <c r="E997" s="13">
        <v>1</v>
      </c>
      <c r="F997" s="11">
        <f>DAY(Tabela5[[#This Row],[Data]])</f>
        <v>29</v>
      </c>
      <c r="G9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998" spans="1:7">
      <c r="A998" s="11" t="s">
        <v>4</v>
      </c>
      <c r="B998" s="12">
        <v>44316</v>
      </c>
      <c r="C998" s="1" t="s">
        <v>30</v>
      </c>
      <c r="D998" s="1" t="s">
        <v>46</v>
      </c>
      <c r="E998" s="13">
        <v>1</v>
      </c>
      <c r="F998" s="11">
        <f>DAY(Tabela5[[#This Row],[Data]])</f>
        <v>30</v>
      </c>
      <c r="G9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999" spans="1:7">
      <c r="A999" s="11" t="s">
        <v>4</v>
      </c>
      <c r="B999" s="12">
        <v>44316</v>
      </c>
      <c r="C999" s="1" t="s">
        <v>30</v>
      </c>
      <c r="D999" s="1" t="s">
        <v>46</v>
      </c>
      <c r="E999" s="13">
        <v>2</v>
      </c>
      <c r="F999" s="11">
        <f>DAY(Tabela5[[#This Row],[Data]])</f>
        <v>30</v>
      </c>
      <c r="G9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00" spans="1:7">
      <c r="A1000" s="11" t="s">
        <v>4</v>
      </c>
      <c r="B1000" s="12">
        <v>44287</v>
      </c>
      <c r="C1000" s="1" t="s">
        <v>31</v>
      </c>
      <c r="D1000" s="1" t="s">
        <v>46</v>
      </c>
      <c r="E1000" s="13">
        <v>2</v>
      </c>
      <c r="F1000" s="11">
        <f>DAY(Tabela5[[#This Row],[Data]])</f>
        <v>1</v>
      </c>
      <c r="G10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01" spans="1:7">
      <c r="A1001" s="11" t="s">
        <v>4</v>
      </c>
      <c r="B1001" s="12">
        <v>44287</v>
      </c>
      <c r="C1001" s="1" t="s">
        <v>31</v>
      </c>
      <c r="D1001" s="1" t="s">
        <v>46</v>
      </c>
      <c r="E1001" s="13">
        <v>1</v>
      </c>
      <c r="F1001" s="11">
        <f>DAY(Tabela5[[#This Row],[Data]])</f>
        <v>1</v>
      </c>
      <c r="G10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02" spans="1:7">
      <c r="A1002" s="11" t="s">
        <v>4</v>
      </c>
      <c r="B1002" s="12">
        <v>44291</v>
      </c>
      <c r="C1002" s="1" t="s">
        <v>31</v>
      </c>
      <c r="D1002" s="1" t="s">
        <v>46</v>
      </c>
      <c r="E1002" s="13">
        <v>2</v>
      </c>
      <c r="F1002" s="11">
        <f>DAY(Tabela5[[#This Row],[Data]])</f>
        <v>5</v>
      </c>
      <c r="G10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03" spans="1:7">
      <c r="A1003" s="11" t="s">
        <v>4</v>
      </c>
      <c r="B1003" s="12">
        <v>44291</v>
      </c>
      <c r="C1003" s="1" t="s">
        <v>31</v>
      </c>
      <c r="D1003" s="1" t="s">
        <v>46</v>
      </c>
      <c r="E1003" s="13">
        <v>2</v>
      </c>
      <c r="F1003" s="11">
        <f>DAY(Tabela5[[#This Row],[Data]])</f>
        <v>5</v>
      </c>
      <c r="G10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04" spans="1:7">
      <c r="A1004" s="11" t="s">
        <v>4</v>
      </c>
      <c r="B1004" s="12">
        <v>44291</v>
      </c>
      <c r="C1004" s="1" t="s">
        <v>31</v>
      </c>
      <c r="D1004" s="1" t="s">
        <v>46</v>
      </c>
      <c r="E1004" s="13">
        <v>1</v>
      </c>
      <c r="F1004" s="11">
        <f>DAY(Tabela5[[#This Row],[Data]])</f>
        <v>5</v>
      </c>
      <c r="G10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05" spans="1:7">
      <c r="A1005" s="11" t="s">
        <v>4</v>
      </c>
      <c r="B1005" s="12">
        <v>44291</v>
      </c>
      <c r="C1005" s="1" t="s">
        <v>31</v>
      </c>
      <c r="D1005" s="1" t="s">
        <v>46</v>
      </c>
      <c r="E1005" s="13">
        <v>2</v>
      </c>
      <c r="F1005" s="11">
        <f>DAY(Tabela5[[#This Row],[Data]])</f>
        <v>5</v>
      </c>
      <c r="G10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06" spans="1:7">
      <c r="A1006" s="11" t="s">
        <v>4</v>
      </c>
      <c r="B1006" s="12">
        <v>44291</v>
      </c>
      <c r="C1006" s="1" t="s">
        <v>31</v>
      </c>
      <c r="D1006" s="1" t="s">
        <v>46</v>
      </c>
      <c r="E1006" s="13">
        <v>1</v>
      </c>
      <c r="F1006" s="11">
        <f>DAY(Tabela5[[#This Row],[Data]])</f>
        <v>5</v>
      </c>
      <c r="G10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07" spans="1:7">
      <c r="A1007" s="11" t="s">
        <v>4</v>
      </c>
      <c r="B1007" s="12">
        <v>44292</v>
      </c>
      <c r="C1007" s="1" t="s">
        <v>31</v>
      </c>
      <c r="D1007" s="1" t="s">
        <v>46</v>
      </c>
      <c r="E1007" s="13">
        <v>1</v>
      </c>
      <c r="F1007" s="11">
        <f>DAY(Tabela5[[#This Row],[Data]])</f>
        <v>6</v>
      </c>
      <c r="G10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08" spans="1:7">
      <c r="A1008" s="11" t="s">
        <v>4</v>
      </c>
      <c r="B1008" s="12">
        <v>44292</v>
      </c>
      <c r="C1008" s="1" t="s">
        <v>31</v>
      </c>
      <c r="D1008" s="1" t="s">
        <v>46</v>
      </c>
      <c r="E1008" s="13">
        <v>1</v>
      </c>
      <c r="F1008" s="11">
        <f>DAY(Tabela5[[#This Row],[Data]])</f>
        <v>6</v>
      </c>
      <c r="G10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09" spans="1:7">
      <c r="A1009" s="11" t="s">
        <v>4</v>
      </c>
      <c r="B1009" s="12">
        <v>44292</v>
      </c>
      <c r="C1009" s="1" t="s">
        <v>31</v>
      </c>
      <c r="D1009" s="1" t="s">
        <v>46</v>
      </c>
      <c r="E1009" s="13">
        <v>1</v>
      </c>
      <c r="F1009" s="11">
        <f>DAY(Tabela5[[#This Row],[Data]])</f>
        <v>6</v>
      </c>
      <c r="G10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10" spans="1:7">
      <c r="A1010" s="11" t="s">
        <v>4</v>
      </c>
      <c r="B1010" s="12">
        <v>44293</v>
      </c>
      <c r="C1010" s="1" t="s">
        <v>31</v>
      </c>
      <c r="D1010" s="1" t="s">
        <v>46</v>
      </c>
      <c r="E1010" s="13">
        <v>1</v>
      </c>
      <c r="F1010" s="11">
        <f>DAY(Tabela5[[#This Row],[Data]])</f>
        <v>7</v>
      </c>
      <c r="G10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11" spans="1:7">
      <c r="A1011" s="11" t="s">
        <v>4</v>
      </c>
      <c r="B1011" s="12">
        <v>44293</v>
      </c>
      <c r="C1011" s="1" t="s">
        <v>31</v>
      </c>
      <c r="D1011" s="1" t="s">
        <v>46</v>
      </c>
      <c r="E1011" s="13">
        <v>2</v>
      </c>
      <c r="F1011" s="11">
        <f>DAY(Tabela5[[#This Row],[Data]])</f>
        <v>7</v>
      </c>
      <c r="G10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12" spans="1:7">
      <c r="A1012" s="11" t="s">
        <v>4</v>
      </c>
      <c r="B1012" s="12">
        <v>44293</v>
      </c>
      <c r="C1012" s="1" t="s">
        <v>31</v>
      </c>
      <c r="D1012" s="1" t="s">
        <v>46</v>
      </c>
      <c r="E1012" s="13">
        <v>2</v>
      </c>
      <c r="F1012" s="11">
        <f>DAY(Tabela5[[#This Row],[Data]])</f>
        <v>7</v>
      </c>
      <c r="G10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13" spans="1:7">
      <c r="A1013" s="11" t="s">
        <v>4</v>
      </c>
      <c r="B1013" s="12">
        <v>44294</v>
      </c>
      <c r="C1013" s="1" t="s">
        <v>31</v>
      </c>
      <c r="D1013" s="1" t="s">
        <v>46</v>
      </c>
      <c r="E1013" s="13">
        <v>1</v>
      </c>
      <c r="F1013" s="11">
        <f>DAY(Tabela5[[#This Row],[Data]])</f>
        <v>8</v>
      </c>
      <c r="G10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14" spans="1:7">
      <c r="A1014" s="11" t="s">
        <v>4</v>
      </c>
      <c r="B1014" s="12">
        <v>44294</v>
      </c>
      <c r="C1014" s="1" t="s">
        <v>31</v>
      </c>
      <c r="D1014" s="1" t="s">
        <v>46</v>
      </c>
      <c r="E1014" s="13">
        <v>1</v>
      </c>
      <c r="F1014" s="11">
        <f>DAY(Tabela5[[#This Row],[Data]])</f>
        <v>8</v>
      </c>
      <c r="G10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15" spans="1:7">
      <c r="A1015" s="11" t="s">
        <v>4</v>
      </c>
      <c r="B1015" s="12">
        <v>44294</v>
      </c>
      <c r="C1015" s="1" t="s">
        <v>31</v>
      </c>
      <c r="D1015" s="1" t="s">
        <v>46</v>
      </c>
      <c r="E1015" s="13">
        <v>1</v>
      </c>
      <c r="F1015" s="11">
        <f>DAY(Tabela5[[#This Row],[Data]])</f>
        <v>8</v>
      </c>
      <c r="G10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16" spans="1:7">
      <c r="A1016" s="11" t="s">
        <v>4</v>
      </c>
      <c r="B1016" s="12">
        <v>44295</v>
      </c>
      <c r="C1016" s="1" t="s">
        <v>31</v>
      </c>
      <c r="D1016" s="1" t="s">
        <v>46</v>
      </c>
      <c r="E1016" s="13">
        <v>2</v>
      </c>
      <c r="F1016" s="11">
        <f>DAY(Tabela5[[#This Row],[Data]])</f>
        <v>9</v>
      </c>
      <c r="G10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17" spans="1:7">
      <c r="A1017" s="11" t="s">
        <v>4</v>
      </c>
      <c r="B1017" s="12">
        <v>44295</v>
      </c>
      <c r="C1017" s="1" t="s">
        <v>31</v>
      </c>
      <c r="D1017" s="1" t="s">
        <v>46</v>
      </c>
      <c r="E1017" s="13">
        <v>1</v>
      </c>
      <c r="F1017" s="11">
        <f>DAY(Tabela5[[#This Row],[Data]])</f>
        <v>9</v>
      </c>
      <c r="G10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18" spans="1:7">
      <c r="A1018" s="11" t="s">
        <v>4</v>
      </c>
      <c r="B1018" s="12">
        <v>44298</v>
      </c>
      <c r="C1018" s="1" t="s">
        <v>31</v>
      </c>
      <c r="D1018" s="1" t="s">
        <v>46</v>
      </c>
      <c r="E1018" s="13">
        <v>1</v>
      </c>
      <c r="F1018" s="11">
        <f>DAY(Tabela5[[#This Row],[Data]])</f>
        <v>12</v>
      </c>
      <c r="G10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19" spans="1:7">
      <c r="A1019" s="11" t="s">
        <v>4</v>
      </c>
      <c r="B1019" s="12">
        <v>44299</v>
      </c>
      <c r="C1019" s="1" t="s">
        <v>31</v>
      </c>
      <c r="D1019" s="1" t="s">
        <v>46</v>
      </c>
      <c r="E1019" s="13">
        <v>1</v>
      </c>
      <c r="F1019" s="11">
        <f>DAY(Tabela5[[#This Row],[Data]])</f>
        <v>13</v>
      </c>
      <c r="G10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20" spans="1:7">
      <c r="A1020" s="11" t="s">
        <v>4</v>
      </c>
      <c r="B1020" s="12">
        <v>44300</v>
      </c>
      <c r="C1020" s="1" t="s">
        <v>31</v>
      </c>
      <c r="D1020" s="1" t="s">
        <v>46</v>
      </c>
      <c r="E1020" s="13">
        <v>1</v>
      </c>
      <c r="F1020" s="11">
        <f>DAY(Tabela5[[#This Row],[Data]])</f>
        <v>14</v>
      </c>
      <c r="G10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21" spans="1:7">
      <c r="A1021" s="11" t="s">
        <v>4</v>
      </c>
      <c r="B1021" s="12">
        <v>44301</v>
      </c>
      <c r="C1021" s="1" t="s">
        <v>31</v>
      </c>
      <c r="D1021" s="1" t="s">
        <v>46</v>
      </c>
      <c r="E1021" s="13">
        <v>2</v>
      </c>
      <c r="F1021" s="11">
        <f>DAY(Tabela5[[#This Row],[Data]])</f>
        <v>15</v>
      </c>
      <c r="G10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22" spans="1:7">
      <c r="A1022" s="11" t="s">
        <v>4</v>
      </c>
      <c r="B1022" s="12">
        <v>44301</v>
      </c>
      <c r="C1022" s="1" t="s">
        <v>31</v>
      </c>
      <c r="D1022" s="1" t="s">
        <v>46</v>
      </c>
      <c r="E1022" s="13">
        <v>1</v>
      </c>
      <c r="F1022" s="11">
        <f>DAY(Tabela5[[#This Row],[Data]])</f>
        <v>15</v>
      </c>
      <c r="G10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23" spans="1:7">
      <c r="A1023" s="11" t="s">
        <v>4</v>
      </c>
      <c r="B1023" s="12">
        <v>44302</v>
      </c>
      <c r="C1023" s="1" t="s">
        <v>31</v>
      </c>
      <c r="D1023" s="1" t="s">
        <v>46</v>
      </c>
      <c r="E1023" s="13">
        <v>2</v>
      </c>
      <c r="F1023" s="11">
        <f>DAY(Tabela5[[#This Row],[Data]])</f>
        <v>16</v>
      </c>
      <c r="G10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24" spans="1:7">
      <c r="A1024" s="11" t="s">
        <v>4</v>
      </c>
      <c r="B1024" s="12">
        <v>44303</v>
      </c>
      <c r="C1024" s="1" t="s">
        <v>31</v>
      </c>
      <c r="D1024" s="1" t="s">
        <v>46</v>
      </c>
      <c r="E1024" s="13">
        <v>1</v>
      </c>
      <c r="F1024" s="11">
        <f>DAY(Tabela5[[#This Row],[Data]])</f>
        <v>17</v>
      </c>
      <c r="G10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1025" spans="1:7">
      <c r="A1025" s="11" t="s">
        <v>4</v>
      </c>
      <c r="B1025" s="12">
        <v>44303</v>
      </c>
      <c r="C1025" s="1" t="s">
        <v>31</v>
      </c>
      <c r="D1025" s="1" t="s">
        <v>46</v>
      </c>
      <c r="E1025" s="13">
        <v>2</v>
      </c>
      <c r="F1025" s="11">
        <f>DAY(Tabela5[[#This Row],[Data]])</f>
        <v>17</v>
      </c>
      <c r="G10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1026" spans="1:7">
      <c r="A1026" s="11" t="s">
        <v>4</v>
      </c>
      <c r="B1026" s="12">
        <v>44305</v>
      </c>
      <c r="C1026" s="1" t="s">
        <v>31</v>
      </c>
      <c r="D1026" s="1" t="s">
        <v>46</v>
      </c>
      <c r="E1026" s="13">
        <v>2</v>
      </c>
      <c r="F1026" s="11">
        <f>DAY(Tabela5[[#This Row],[Data]])</f>
        <v>19</v>
      </c>
      <c r="G10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27" spans="1:7">
      <c r="A1027" s="11" t="s">
        <v>4</v>
      </c>
      <c r="B1027" s="12">
        <v>44306</v>
      </c>
      <c r="C1027" s="1" t="s">
        <v>31</v>
      </c>
      <c r="D1027" s="1" t="s">
        <v>46</v>
      </c>
      <c r="E1027" s="13">
        <v>1</v>
      </c>
      <c r="F1027" s="11">
        <f>DAY(Tabela5[[#This Row],[Data]])</f>
        <v>20</v>
      </c>
      <c r="G10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28" spans="1:7">
      <c r="A1028" s="11" t="s">
        <v>4</v>
      </c>
      <c r="B1028" s="12">
        <v>44308</v>
      </c>
      <c r="C1028" s="1" t="s">
        <v>31</v>
      </c>
      <c r="D1028" s="1" t="s">
        <v>46</v>
      </c>
      <c r="E1028" s="13">
        <v>1</v>
      </c>
      <c r="F1028" s="11">
        <f>DAY(Tabela5[[#This Row],[Data]])</f>
        <v>22</v>
      </c>
      <c r="G10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29" spans="1:7">
      <c r="A1029" s="11" t="s">
        <v>4</v>
      </c>
      <c r="B1029" s="12">
        <v>44308</v>
      </c>
      <c r="C1029" s="1" t="s">
        <v>31</v>
      </c>
      <c r="D1029" s="1" t="s">
        <v>46</v>
      </c>
      <c r="E1029" s="13">
        <v>2</v>
      </c>
      <c r="F1029" s="11">
        <f>DAY(Tabela5[[#This Row],[Data]])</f>
        <v>22</v>
      </c>
      <c r="G10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30" spans="1:7">
      <c r="A1030" s="11" t="s">
        <v>4</v>
      </c>
      <c r="B1030" s="12">
        <v>44309</v>
      </c>
      <c r="C1030" s="1" t="s">
        <v>31</v>
      </c>
      <c r="D1030" s="1" t="s">
        <v>46</v>
      </c>
      <c r="E1030" s="13">
        <v>2</v>
      </c>
      <c r="F1030" s="11">
        <f>DAY(Tabela5[[#This Row],[Data]])</f>
        <v>23</v>
      </c>
      <c r="G10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31" spans="1:7">
      <c r="A1031" s="11" t="s">
        <v>4</v>
      </c>
      <c r="B1031" s="12">
        <v>44312</v>
      </c>
      <c r="C1031" s="1" t="s">
        <v>31</v>
      </c>
      <c r="D1031" s="1" t="s">
        <v>46</v>
      </c>
      <c r="E1031" s="13">
        <v>1</v>
      </c>
      <c r="F1031" s="11">
        <f>DAY(Tabela5[[#This Row],[Data]])</f>
        <v>26</v>
      </c>
      <c r="G10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32" spans="1:7">
      <c r="A1032" s="11" t="s">
        <v>4</v>
      </c>
      <c r="B1032" s="12">
        <v>44313</v>
      </c>
      <c r="C1032" s="1" t="s">
        <v>31</v>
      </c>
      <c r="D1032" s="1" t="s">
        <v>46</v>
      </c>
      <c r="E1032" s="13">
        <v>1</v>
      </c>
      <c r="F1032" s="11">
        <f>DAY(Tabela5[[#This Row],[Data]])</f>
        <v>27</v>
      </c>
      <c r="G10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33" spans="1:7">
      <c r="A1033" s="11" t="s">
        <v>4</v>
      </c>
      <c r="B1033" s="12">
        <v>44313</v>
      </c>
      <c r="C1033" s="1" t="s">
        <v>31</v>
      </c>
      <c r="D1033" s="1" t="s">
        <v>46</v>
      </c>
      <c r="E1033" s="13">
        <v>1</v>
      </c>
      <c r="F1033" s="11">
        <f>DAY(Tabela5[[#This Row],[Data]])</f>
        <v>27</v>
      </c>
      <c r="G10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34" spans="1:7">
      <c r="A1034" s="11" t="s">
        <v>4</v>
      </c>
      <c r="B1034" s="12">
        <v>44314</v>
      </c>
      <c r="C1034" s="1" t="s">
        <v>31</v>
      </c>
      <c r="D1034" s="1" t="s">
        <v>46</v>
      </c>
      <c r="E1034" s="13">
        <v>1</v>
      </c>
      <c r="F1034" s="11">
        <f>DAY(Tabela5[[#This Row],[Data]])</f>
        <v>28</v>
      </c>
      <c r="G10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35" spans="1:7">
      <c r="A1035" s="11" t="s">
        <v>4</v>
      </c>
      <c r="B1035" s="12">
        <v>44315</v>
      </c>
      <c r="C1035" s="1" t="s">
        <v>31</v>
      </c>
      <c r="D1035" s="1" t="s">
        <v>46</v>
      </c>
      <c r="E1035" s="13">
        <v>1</v>
      </c>
      <c r="F1035" s="11">
        <f>DAY(Tabela5[[#This Row],[Data]])</f>
        <v>29</v>
      </c>
      <c r="G10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36" spans="1:7">
      <c r="A1036" s="11" t="s">
        <v>4</v>
      </c>
      <c r="B1036" s="12">
        <v>44315</v>
      </c>
      <c r="C1036" s="1" t="s">
        <v>31</v>
      </c>
      <c r="D1036" s="1" t="s">
        <v>46</v>
      </c>
      <c r="E1036" s="13">
        <v>1</v>
      </c>
      <c r="F1036" s="11">
        <f>DAY(Tabela5[[#This Row],[Data]])</f>
        <v>29</v>
      </c>
      <c r="G10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37" spans="1:7">
      <c r="A1037" s="11" t="s">
        <v>4</v>
      </c>
      <c r="B1037" s="12">
        <v>44316</v>
      </c>
      <c r="C1037" s="1" t="s">
        <v>31</v>
      </c>
      <c r="D1037" s="1" t="s">
        <v>46</v>
      </c>
      <c r="E1037" s="13">
        <v>2</v>
      </c>
      <c r="F1037" s="11">
        <f>DAY(Tabela5[[#This Row],[Data]])</f>
        <v>30</v>
      </c>
      <c r="G10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38" spans="1:7">
      <c r="A1038" s="11" t="s">
        <v>4</v>
      </c>
      <c r="B1038" s="12">
        <v>44316</v>
      </c>
      <c r="C1038" s="1" t="s">
        <v>31</v>
      </c>
      <c r="D1038" s="1" t="s">
        <v>46</v>
      </c>
      <c r="E1038" s="13">
        <v>2</v>
      </c>
      <c r="F1038" s="11">
        <f>DAY(Tabela5[[#This Row],[Data]])</f>
        <v>30</v>
      </c>
      <c r="G10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39" spans="1:7">
      <c r="A1039" s="11" t="s">
        <v>4</v>
      </c>
      <c r="B1039" s="12">
        <v>44287</v>
      </c>
      <c r="C1039" s="1" t="s">
        <v>32</v>
      </c>
      <c r="D1039" s="1" t="s">
        <v>46</v>
      </c>
      <c r="E1039" s="13">
        <v>2</v>
      </c>
      <c r="F1039" s="11">
        <f>DAY(Tabela5[[#This Row],[Data]])</f>
        <v>1</v>
      </c>
      <c r="G10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40" spans="1:7">
      <c r="A1040" s="11" t="s">
        <v>4</v>
      </c>
      <c r="B1040" s="12">
        <v>44291</v>
      </c>
      <c r="C1040" s="1" t="s">
        <v>32</v>
      </c>
      <c r="D1040" s="1" t="s">
        <v>46</v>
      </c>
      <c r="E1040" s="13">
        <v>1</v>
      </c>
      <c r="F1040" s="11">
        <f>DAY(Tabela5[[#This Row],[Data]])</f>
        <v>5</v>
      </c>
      <c r="G10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41" spans="1:7">
      <c r="A1041" s="11" t="s">
        <v>4</v>
      </c>
      <c r="B1041" s="12">
        <v>44291</v>
      </c>
      <c r="C1041" s="1" t="s">
        <v>32</v>
      </c>
      <c r="D1041" s="1" t="s">
        <v>46</v>
      </c>
      <c r="E1041" s="13">
        <v>1</v>
      </c>
      <c r="F1041" s="11">
        <f>DAY(Tabela5[[#This Row],[Data]])</f>
        <v>5</v>
      </c>
      <c r="G10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42" spans="1:7">
      <c r="A1042" s="11" t="s">
        <v>4</v>
      </c>
      <c r="B1042" s="12">
        <v>44291</v>
      </c>
      <c r="C1042" s="1" t="s">
        <v>32</v>
      </c>
      <c r="D1042" s="1" t="s">
        <v>46</v>
      </c>
      <c r="E1042" s="13">
        <v>1</v>
      </c>
      <c r="F1042" s="11">
        <f>DAY(Tabela5[[#This Row],[Data]])</f>
        <v>5</v>
      </c>
      <c r="G10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43" spans="1:7">
      <c r="A1043" s="11" t="s">
        <v>4</v>
      </c>
      <c r="B1043" s="12">
        <v>44292</v>
      </c>
      <c r="C1043" s="1" t="s">
        <v>32</v>
      </c>
      <c r="D1043" s="1" t="s">
        <v>46</v>
      </c>
      <c r="E1043" s="13">
        <v>2</v>
      </c>
      <c r="F1043" s="11">
        <f>DAY(Tabela5[[#This Row],[Data]])</f>
        <v>6</v>
      </c>
      <c r="G10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44" spans="1:7">
      <c r="A1044" s="11" t="s">
        <v>4</v>
      </c>
      <c r="B1044" s="12">
        <v>44292</v>
      </c>
      <c r="C1044" s="1" t="s">
        <v>32</v>
      </c>
      <c r="D1044" s="1" t="s">
        <v>46</v>
      </c>
      <c r="E1044" s="13">
        <v>2</v>
      </c>
      <c r="F1044" s="11">
        <f>DAY(Tabela5[[#This Row],[Data]])</f>
        <v>6</v>
      </c>
      <c r="G10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45" spans="1:7">
      <c r="A1045" s="11" t="s">
        <v>4</v>
      </c>
      <c r="B1045" s="12">
        <v>44292</v>
      </c>
      <c r="C1045" s="1" t="s">
        <v>32</v>
      </c>
      <c r="D1045" s="1" t="s">
        <v>46</v>
      </c>
      <c r="E1045" s="13">
        <v>2</v>
      </c>
      <c r="F1045" s="11">
        <f>DAY(Tabela5[[#This Row],[Data]])</f>
        <v>6</v>
      </c>
      <c r="G10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46" spans="1:7">
      <c r="A1046" s="11" t="s">
        <v>4</v>
      </c>
      <c r="B1046" s="12">
        <v>44293</v>
      </c>
      <c r="C1046" s="1" t="s">
        <v>32</v>
      </c>
      <c r="D1046" s="1" t="s">
        <v>46</v>
      </c>
      <c r="E1046" s="13">
        <v>2</v>
      </c>
      <c r="F1046" s="11">
        <f>DAY(Tabela5[[#This Row],[Data]])</f>
        <v>7</v>
      </c>
      <c r="G10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47" spans="1:7">
      <c r="A1047" s="11" t="s">
        <v>4</v>
      </c>
      <c r="B1047" s="12">
        <v>44293</v>
      </c>
      <c r="C1047" s="1" t="s">
        <v>32</v>
      </c>
      <c r="D1047" s="1" t="s">
        <v>46</v>
      </c>
      <c r="E1047" s="13">
        <v>1</v>
      </c>
      <c r="F1047" s="11">
        <f>DAY(Tabela5[[#This Row],[Data]])</f>
        <v>7</v>
      </c>
      <c r="G10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48" spans="1:7">
      <c r="A1048" s="11" t="s">
        <v>4</v>
      </c>
      <c r="B1048" s="12">
        <v>44293</v>
      </c>
      <c r="C1048" s="1" t="s">
        <v>32</v>
      </c>
      <c r="D1048" s="1" t="s">
        <v>46</v>
      </c>
      <c r="E1048" s="13">
        <v>1</v>
      </c>
      <c r="F1048" s="11">
        <f>DAY(Tabela5[[#This Row],[Data]])</f>
        <v>7</v>
      </c>
      <c r="G10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49" spans="1:7">
      <c r="A1049" s="11" t="s">
        <v>4</v>
      </c>
      <c r="B1049" s="12">
        <v>44294</v>
      </c>
      <c r="C1049" s="1" t="s">
        <v>32</v>
      </c>
      <c r="D1049" s="1" t="s">
        <v>46</v>
      </c>
      <c r="E1049" s="13">
        <v>2</v>
      </c>
      <c r="F1049" s="11">
        <f>DAY(Tabela5[[#This Row],[Data]])</f>
        <v>8</v>
      </c>
      <c r="G10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50" spans="1:7">
      <c r="A1050" s="11" t="s">
        <v>4</v>
      </c>
      <c r="B1050" s="12">
        <v>44294</v>
      </c>
      <c r="C1050" s="1" t="s">
        <v>32</v>
      </c>
      <c r="D1050" s="1" t="s">
        <v>46</v>
      </c>
      <c r="E1050" s="13">
        <v>1</v>
      </c>
      <c r="F1050" s="11">
        <f>DAY(Tabela5[[#This Row],[Data]])</f>
        <v>8</v>
      </c>
      <c r="G10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51" spans="1:7">
      <c r="A1051" s="11" t="s">
        <v>4</v>
      </c>
      <c r="B1051" s="12">
        <v>44294</v>
      </c>
      <c r="C1051" s="1" t="s">
        <v>32</v>
      </c>
      <c r="D1051" s="1" t="s">
        <v>46</v>
      </c>
      <c r="E1051" s="13">
        <v>1</v>
      </c>
      <c r="F1051" s="11">
        <f>DAY(Tabela5[[#This Row],[Data]])</f>
        <v>8</v>
      </c>
      <c r="G10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52" spans="1:7">
      <c r="A1052" s="11" t="s">
        <v>4</v>
      </c>
      <c r="B1052" s="12">
        <v>44295</v>
      </c>
      <c r="C1052" s="1" t="s">
        <v>32</v>
      </c>
      <c r="D1052" s="1" t="s">
        <v>46</v>
      </c>
      <c r="E1052" s="13">
        <v>2</v>
      </c>
      <c r="F1052" s="11">
        <f>DAY(Tabela5[[#This Row],[Data]])</f>
        <v>9</v>
      </c>
      <c r="G10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53" spans="1:7">
      <c r="A1053" s="11" t="s">
        <v>4</v>
      </c>
      <c r="B1053" s="12">
        <v>44295</v>
      </c>
      <c r="C1053" s="1" t="s">
        <v>32</v>
      </c>
      <c r="D1053" s="1" t="s">
        <v>46</v>
      </c>
      <c r="E1053" s="13">
        <v>1</v>
      </c>
      <c r="F1053" s="11">
        <f>DAY(Tabela5[[#This Row],[Data]])</f>
        <v>9</v>
      </c>
      <c r="G10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54" spans="1:7">
      <c r="A1054" s="11" t="s">
        <v>4</v>
      </c>
      <c r="B1054" s="12">
        <v>44295</v>
      </c>
      <c r="C1054" s="1" t="s">
        <v>32</v>
      </c>
      <c r="D1054" s="1" t="s">
        <v>46</v>
      </c>
      <c r="E1054" s="13">
        <v>1</v>
      </c>
      <c r="F1054" s="11">
        <f>DAY(Tabela5[[#This Row],[Data]])</f>
        <v>9</v>
      </c>
      <c r="G10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55" spans="1:7">
      <c r="A1055" s="11" t="s">
        <v>4</v>
      </c>
      <c r="B1055" s="12">
        <v>44296</v>
      </c>
      <c r="C1055" s="1" t="s">
        <v>32</v>
      </c>
      <c r="D1055" s="1" t="s">
        <v>46</v>
      </c>
      <c r="E1055" s="13">
        <v>1</v>
      </c>
      <c r="F1055" s="11">
        <f>DAY(Tabela5[[#This Row],[Data]])</f>
        <v>10</v>
      </c>
      <c r="G10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1056" spans="1:7">
      <c r="A1056" s="11" t="s">
        <v>4</v>
      </c>
      <c r="B1056" s="12">
        <v>44296</v>
      </c>
      <c r="C1056" s="1" t="s">
        <v>32</v>
      </c>
      <c r="D1056" s="1" t="s">
        <v>46</v>
      </c>
      <c r="E1056" s="13">
        <v>2</v>
      </c>
      <c r="F1056" s="11">
        <f>DAY(Tabela5[[#This Row],[Data]])</f>
        <v>10</v>
      </c>
      <c r="G10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1057" spans="1:7">
      <c r="A1057" s="11" t="s">
        <v>4</v>
      </c>
      <c r="B1057" s="12">
        <v>44298</v>
      </c>
      <c r="C1057" s="1" t="s">
        <v>32</v>
      </c>
      <c r="D1057" s="1" t="s">
        <v>46</v>
      </c>
      <c r="E1057" s="13">
        <v>1</v>
      </c>
      <c r="F1057" s="11">
        <f>DAY(Tabela5[[#This Row],[Data]])</f>
        <v>12</v>
      </c>
      <c r="G10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58" spans="1:7">
      <c r="A1058" s="11" t="s">
        <v>4</v>
      </c>
      <c r="B1058" s="12">
        <v>44298</v>
      </c>
      <c r="C1058" s="1" t="s">
        <v>32</v>
      </c>
      <c r="D1058" s="1" t="s">
        <v>46</v>
      </c>
      <c r="E1058" s="13">
        <v>2</v>
      </c>
      <c r="F1058" s="11">
        <f>DAY(Tabela5[[#This Row],[Data]])</f>
        <v>12</v>
      </c>
      <c r="G10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59" spans="1:7">
      <c r="A1059" s="11" t="s">
        <v>4</v>
      </c>
      <c r="B1059" s="12">
        <v>44298</v>
      </c>
      <c r="C1059" s="1" t="s">
        <v>32</v>
      </c>
      <c r="D1059" s="1" t="s">
        <v>46</v>
      </c>
      <c r="E1059" s="13">
        <v>1</v>
      </c>
      <c r="F1059" s="11">
        <f>DAY(Tabela5[[#This Row],[Data]])</f>
        <v>12</v>
      </c>
      <c r="G10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60" spans="1:7">
      <c r="A1060" s="11" t="s">
        <v>4</v>
      </c>
      <c r="B1060" s="12">
        <v>44299</v>
      </c>
      <c r="C1060" s="1" t="s">
        <v>32</v>
      </c>
      <c r="D1060" s="1" t="s">
        <v>46</v>
      </c>
      <c r="E1060" s="13">
        <v>1</v>
      </c>
      <c r="F1060" s="11">
        <f>DAY(Tabela5[[#This Row],[Data]])</f>
        <v>13</v>
      </c>
      <c r="G10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61" spans="1:7">
      <c r="A1061" s="11" t="s">
        <v>4</v>
      </c>
      <c r="B1061" s="12">
        <v>44299</v>
      </c>
      <c r="C1061" s="1" t="s">
        <v>32</v>
      </c>
      <c r="D1061" s="1" t="s">
        <v>46</v>
      </c>
      <c r="E1061" s="13">
        <v>1</v>
      </c>
      <c r="F1061" s="11">
        <f>DAY(Tabela5[[#This Row],[Data]])</f>
        <v>13</v>
      </c>
      <c r="G10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62" spans="1:7">
      <c r="A1062" s="11" t="s">
        <v>4</v>
      </c>
      <c r="B1062" s="12">
        <v>44299</v>
      </c>
      <c r="C1062" s="1" t="s">
        <v>32</v>
      </c>
      <c r="D1062" s="1" t="s">
        <v>46</v>
      </c>
      <c r="E1062" s="13">
        <v>2</v>
      </c>
      <c r="F1062" s="11">
        <f>DAY(Tabela5[[#This Row],[Data]])</f>
        <v>13</v>
      </c>
      <c r="G10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63" spans="1:7">
      <c r="A1063" s="11" t="s">
        <v>4</v>
      </c>
      <c r="B1063" s="12">
        <v>44300</v>
      </c>
      <c r="C1063" s="1" t="s">
        <v>32</v>
      </c>
      <c r="D1063" s="1" t="s">
        <v>46</v>
      </c>
      <c r="E1063" s="13">
        <v>1</v>
      </c>
      <c r="F1063" s="11">
        <f>DAY(Tabela5[[#This Row],[Data]])</f>
        <v>14</v>
      </c>
      <c r="G10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64" spans="1:7">
      <c r="A1064" s="11" t="s">
        <v>4</v>
      </c>
      <c r="B1064" s="12">
        <v>44301</v>
      </c>
      <c r="C1064" s="1" t="s">
        <v>32</v>
      </c>
      <c r="D1064" s="1" t="s">
        <v>46</v>
      </c>
      <c r="E1064" s="13">
        <v>1</v>
      </c>
      <c r="F1064" s="11">
        <f>DAY(Tabela5[[#This Row],[Data]])</f>
        <v>15</v>
      </c>
      <c r="G10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65" spans="1:7">
      <c r="A1065" s="11" t="s">
        <v>4</v>
      </c>
      <c r="B1065" s="12">
        <v>44301</v>
      </c>
      <c r="C1065" s="1" t="s">
        <v>32</v>
      </c>
      <c r="D1065" s="1" t="s">
        <v>46</v>
      </c>
      <c r="E1065" s="13">
        <v>1</v>
      </c>
      <c r="F1065" s="11">
        <f>DAY(Tabela5[[#This Row],[Data]])</f>
        <v>15</v>
      </c>
      <c r="G10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66" spans="1:7">
      <c r="A1066" s="11" t="s">
        <v>4</v>
      </c>
      <c r="B1066" s="12">
        <v>44301</v>
      </c>
      <c r="C1066" s="1" t="s">
        <v>32</v>
      </c>
      <c r="D1066" s="1" t="s">
        <v>46</v>
      </c>
      <c r="E1066" s="13">
        <v>2</v>
      </c>
      <c r="F1066" s="11">
        <f>DAY(Tabela5[[#This Row],[Data]])</f>
        <v>15</v>
      </c>
      <c r="G10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67" spans="1:7">
      <c r="A1067" s="11" t="s">
        <v>4</v>
      </c>
      <c r="B1067" s="12">
        <v>44302</v>
      </c>
      <c r="C1067" s="1" t="s">
        <v>32</v>
      </c>
      <c r="D1067" s="1" t="s">
        <v>46</v>
      </c>
      <c r="E1067" s="13">
        <v>1</v>
      </c>
      <c r="F1067" s="11">
        <f>DAY(Tabela5[[#This Row],[Data]])</f>
        <v>16</v>
      </c>
      <c r="G10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68" spans="1:7">
      <c r="A1068" s="11" t="s">
        <v>4</v>
      </c>
      <c r="B1068" s="12">
        <v>44302</v>
      </c>
      <c r="C1068" s="1" t="s">
        <v>32</v>
      </c>
      <c r="D1068" s="1" t="s">
        <v>46</v>
      </c>
      <c r="E1068" s="13">
        <v>1</v>
      </c>
      <c r="F1068" s="11">
        <f>DAY(Tabela5[[#This Row],[Data]])</f>
        <v>16</v>
      </c>
      <c r="G10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69" spans="1:7">
      <c r="A1069" s="11" t="s">
        <v>4</v>
      </c>
      <c r="B1069" s="12">
        <v>44302</v>
      </c>
      <c r="C1069" s="1" t="s">
        <v>32</v>
      </c>
      <c r="D1069" s="1" t="s">
        <v>46</v>
      </c>
      <c r="E1069" s="13">
        <v>2</v>
      </c>
      <c r="F1069" s="11">
        <f>DAY(Tabela5[[#This Row],[Data]])</f>
        <v>16</v>
      </c>
      <c r="G10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70" spans="1:7">
      <c r="A1070" s="11" t="s">
        <v>4</v>
      </c>
      <c r="B1070" s="12">
        <v>44305</v>
      </c>
      <c r="C1070" s="1" t="s">
        <v>32</v>
      </c>
      <c r="D1070" s="1" t="s">
        <v>46</v>
      </c>
      <c r="E1070" s="13">
        <v>2</v>
      </c>
      <c r="F1070" s="11">
        <f>DAY(Tabela5[[#This Row],[Data]])</f>
        <v>19</v>
      </c>
      <c r="G10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71" spans="1:7">
      <c r="A1071" s="11" t="s">
        <v>4</v>
      </c>
      <c r="B1071" s="12">
        <v>44305</v>
      </c>
      <c r="C1071" s="1" t="s">
        <v>32</v>
      </c>
      <c r="D1071" s="1" t="s">
        <v>46</v>
      </c>
      <c r="E1071" s="13">
        <v>2</v>
      </c>
      <c r="F1071" s="11">
        <f>DAY(Tabela5[[#This Row],[Data]])</f>
        <v>19</v>
      </c>
      <c r="G10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72" spans="1:7">
      <c r="A1072" s="11" t="s">
        <v>4</v>
      </c>
      <c r="B1072" s="12">
        <v>44305</v>
      </c>
      <c r="C1072" s="1" t="s">
        <v>32</v>
      </c>
      <c r="D1072" s="1" t="s">
        <v>46</v>
      </c>
      <c r="E1072" s="13">
        <v>1</v>
      </c>
      <c r="F1072" s="11">
        <f>DAY(Tabela5[[#This Row],[Data]])</f>
        <v>19</v>
      </c>
      <c r="G10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73" spans="1:7">
      <c r="A1073" s="11" t="s">
        <v>4</v>
      </c>
      <c r="B1073" s="12">
        <v>44306</v>
      </c>
      <c r="C1073" s="1" t="s">
        <v>32</v>
      </c>
      <c r="D1073" s="1" t="s">
        <v>46</v>
      </c>
      <c r="E1073" s="13">
        <v>2</v>
      </c>
      <c r="F1073" s="11">
        <f>DAY(Tabela5[[#This Row],[Data]])</f>
        <v>20</v>
      </c>
      <c r="G10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74" spans="1:7">
      <c r="A1074" s="11" t="s">
        <v>4</v>
      </c>
      <c r="B1074" s="12">
        <v>44308</v>
      </c>
      <c r="C1074" s="1" t="s">
        <v>32</v>
      </c>
      <c r="D1074" s="1" t="s">
        <v>46</v>
      </c>
      <c r="E1074" s="13">
        <v>1</v>
      </c>
      <c r="F1074" s="11">
        <f>DAY(Tabela5[[#This Row],[Data]])</f>
        <v>22</v>
      </c>
      <c r="G10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75" spans="1:7">
      <c r="A1075" s="11" t="s">
        <v>4</v>
      </c>
      <c r="B1075" s="12">
        <v>44309</v>
      </c>
      <c r="C1075" s="1" t="s">
        <v>32</v>
      </c>
      <c r="D1075" s="1" t="s">
        <v>46</v>
      </c>
      <c r="E1075" s="13">
        <v>1</v>
      </c>
      <c r="F1075" s="11">
        <f>DAY(Tabela5[[#This Row],[Data]])</f>
        <v>23</v>
      </c>
      <c r="G10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76" spans="1:7">
      <c r="A1076" s="11" t="s">
        <v>4</v>
      </c>
      <c r="B1076" s="12">
        <v>44312</v>
      </c>
      <c r="C1076" s="1" t="s">
        <v>32</v>
      </c>
      <c r="D1076" s="1" t="s">
        <v>46</v>
      </c>
      <c r="E1076" s="13">
        <v>2</v>
      </c>
      <c r="F1076" s="11">
        <f>DAY(Tabela5[[#This Row],[Data]])</f>
        <v>26</v>
      </c>
      <c r="G10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77" spans="1:7">
      <c r="A1077" s="11" t="s">
        <v>4</v>
      </c>
      <c r="B1077" s="12">
        <v>44313</v>
      </c>
      <c r="C1077" s="1" t="s">
        <v>32</v>
      </c>
      <c r="D1077" s="1" t="s">
        <v>46</v>
      </c>
      <c r="E1077" s="13">
        <v>1</v>
      </c>
      <c r="F1077" s="11">
        <f>DAY(Tabela5[[#This Row],[Data]])</f>
        <v>27</v>
      </c>
      <c r="G10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78" spans="1:7">
      <c r="A1078" s="11" t="s">
        <v>4</v>
      </c>
      <c r="B1078" s="12">
        <v>44313</v>
      </c>
      <c r="C1078" s="1" t="s">
        <v>32</v>
      </c>
      <c r="D1078" s="1" t="s">
        <v>46</v>
      </c>
      <c r="E1078" s="13">
        <v>1</v>
      </c>
      <c r="F1078" s="11">
        <f>DAY(Tabela5[[#This Row],[Data]])</f>
        <v>27</v>
      </c>
      <c r="G10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79" spans="1:7">
      <c r="A1079" s="11" t="s">
        <v>4</v>
      </c>
      <c r="B1079" s="12">
        <v>44313</v>
      </c>
      <c r="C1079" s="1" t="s">
        <v>32</v>
      </c>
      <c r="D1079" s="1" t="s">
        <v>46</v>
      </c>
      <c r="E1079" s="13">
        <v>2</v>
      </c>
      <c r="F1079" s="11">
        <f>DAY(Tabela5[[#This Row],[Data]])</f>
        <v>27</v>
      </c>
      <c r="G10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80" spans="1:7">
      <c r="A1080" s="11" t="s">
        <v>4</v>
      </c>
      <c r="B1080" s="12">
        <v>44314</v>
      </c>
      <c r="C1080" s="1" t="s">
        <v>32</v>
      </c>
      <c r="D1080" s="1" t="s">
        <v>46</v>
      </c>
      <c r="E1080" s="13">
        <v>2</v>
      </c>
      <c r="F1080" s="11">
        <f>DAY(Tabela5[[#This Row],[Data]])</f>
        <v>28</v>
      </c>
      <c r="G10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81" spans="1:7">
      <c r="A1081" s="11" t="s">
        <v>4</v>
      </c>
      <c r="B1081" s="12">
        <v>44315</v>
      </c>
      <c r="C1081" s="1" t="s">
        <v>32</v>
      </c>
      <c r="D1081" s="1" t="s">
        <v>46</v>
      </c>
      <c r="E1081" s="13">
        <v>2</v>
      </c>
      <c r="F1081" s="11">
        <f>DAY(Tabela5[[#This Row],[Data]])</f>
        <v>29</v>
      </c>
      <c r="G10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82" spans="1:7">
      <c r="A1082" s="11" t="s">
        <v>4</v>
      </c>
      <c r="B1082" s="12">
        <v>44316</v>
      </c>
      <c r="C1082" s="1" t="s">
        <v>32</v>
      </c>
      <c r="D1082" s="1" t="s">
        <v>46</v>
      </c>
      <c r="E1082" s="13">
        <v>2</v>
      </c>
      <c r="F1082" s="11">
        <f>DAY(Tabela5[[#This Row],[Data]])</f>
        <v>30</v>
      </c>
      <c r="G10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83" spans="1:7">
      <c r="A1083" s="11" t="s">
        <v>4</v>
      </c>
      <c r="B1083" s="12">
        <v>44316</v>
      </c>
      <c r="C1083" s="1" t="s">
        <v>32</v>
      </c>
      <c r="D1083" s="1" t="s">
        <v>46</v>
      </c>
      <c r="E1083" s="13">
        <v>2</v>
      </c>
      <c r="F1083" s="11">
        <f>DAY(Tabela5[[#This Row],[Data]])</f>
        <v>30</v>
      </c>
      <c r="G10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84" spans="1:7">
      <c r="A1084" s="11" t="s">
        <v>4</v>
      </c>
      <c r="B1084" s="12">
        <v>44316</v>
      </c>
      <c r="C1084" s="1" t="s">
        <v>32</v>
      </c>
      <c r="D1084" s="1" t="s">
        <v>46</v>
      </c>
      <c r="E1084" s="13">
        <v>1</v>
      </c>
      <c r="F1084" s="11">
        <f>DAY(Tabela5[[#This Row],[Data]])</f>
        <v>30</v>
      </c>
      <c r="G10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85" spans="1:7">
      <c r="A1085" s="11" t="s">
        <v>4</v>
      </c>
      <c r="B1085" s="12">
        <v>44287</v>
      </c>
      <c r="C1085" s="1" t="s">
        <v>18</v>
      </c>
      <c r="D1085" s="1" t="s">
        <v>46</v>
      </c>
      <c r="E1085" s="13">
        <v>1</v>
      </c>
      <c r="F1085" s="11">
        <f>DAY(Tabela5[[#This Row],[Data]])</f>
        <v>1</v>
      </c>
      <c r="G10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86" spans="1:7">
      <c r="A1086" s="11" t="s">
        <v>4</v>
      </c>
      <c r="B1086" s="12">
        <v>44291</v>
      </c>
      <c r="C1086" s="1" t="s">
        <v>18</v>
      </c>
      <c r="D1086" s="1" t="s">
        <v>46</v>
      </c>
      <c r="E1086" s="13">
        <v>2</v>
      </c>
      <c r="F1086" s="11">
        <f>DAY(Tabela5[[#This Row],[Data]])</f>
        <v>5</v>
      </c>
      <c r="G10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87" spans="1:7">
      <c r="A1087" s="11" t="s">
        <v>4</v>
      </c>
      <c r="B1087" s="12">
        <v>44292</v>
      </c>
      <c r="C1087" s="1" t="s">
        <v>18</v>
      </c>
      <c r="D1087" s="1" t="s">
        <v>46</v>
      </c>
      <c r="E1087" s="13">
        <v>2</v>
      </c>
      <c r="F1087" s="11">
        <f>DAY(Tabela5[[#This Row],[Data]])</f>
        <v>6</v>
      </c>
      <c r="G10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88" spans="1:7">
      <c r="A1088" s="11" t="s">
        <v>4</v>
      </c>
      <c r="B1088" s="12">
        <v>44293</v>
      </c>
      <c r="C1088" s="1" t="s">
        <v>18</v>
      </c>
      <c r="D1088" s="1" t="s">
        <v>46</v>
      </c>
      <c r="E1088" s="13">
        <v>2</v>
      </c>
      <c r="F1088" s="11">
        <f>DAY(Tabela5[[#This Row],[Data]])</f>
        <v>7</v>
      </c>
      <c r="G10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89" spans="1:7">
      <c r="A1089" s="11" t="s">
        <v>4</v>
      </c>
      <c r="B1089" s="12">
        <v>44294</v>
      </c>
      <c r="C1089" s="1" t="s">
        <v>18</v>
      </c>
      <c r="D1089" s="1" t="s">
        <v>46</v>
      </c>
      <c r="E1089" s="13">
        <v>1</v>
      </c>
      <c r="F1089" s="11">
        <f>DAY(Tabela5[[#This Row],[Data]])</f>
        <v>8</v>
      </c>
      <c r="G10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90" spans="1:7">
      <c r="A1090" s="11" t="s">
        <v>4</v>
      </c>
      <c r="B1090" s="12">
        <v>44295</v>
      </c>
      <c r="C1090" s="1" t="s">
        <v>18</v>
      </c>
      <c r="D1090" s="1" t="s">
        <v>46</v>
      </c>
      <c r="E1090" s="13">
        <v>1</v>
      </c>
      <c r="F1090" s="11">
        <f>DAY(Tabela5[[#This Row],[Data]])</f>
        <v>9</v>
      </c>
      <c r="G10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91" spans="1:7">
      <c r="A1091" s="11" t="s">
        <v>4</v>
      </c>
      <c r="B1091" s="12">
        <v>44296</v>
      </c>
      <c r="C1091" s="1" t="s">
        <v>18</v>
      </c>
      <c r="D1091" s="1" t="s">
        <v>46</v>
      </c>
      <c r="E1091" s="13">
        <v>2</v>
      </c>
      <c r="F1091" s="11">
        <f>DAY(Tabela5[[#This Row],[Data]])</f>
        <v>10</v>
      </c>
      <c r="G10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1092" spans="1:7">
      <c r="A1092" s="11" t="s">
        <v>4</v>
      </c>
      <c r="B1092" s="12">
        <v>44298</v>
      </c>
      <c r="C1092" s="1" t="s">
        <v>18</v>
      </c>
      <c r="D1092" s="1" t="s">
        <v>46</v>
      </c>
      <c r="E1092" s="13">
        <v>2</v>
      </c>
      <c r="F1092" s="11">
        <f>DAY(Tabela5[[#This Row],[Data]])</f>
        <v>12</v>
      </c>
      <c r="G10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093" spans="1:7">
      <c r="A1093" s="11" t="s">
        <v>4</v>
      </c>
      <c r="B1093" s="12">
        <v>44299</v>
      </c>
      <c r="C1093" s="1" t="s">
        <v>18</v>
      </c>
      <c r="D1093" s="1" t="s">
        <v>46</v>
      </c>
      <c r="E1093" s="13">
        <v>2</v>
      </c>
      <c r="F1093" s="11">
        <f>DAY(Tabela5[[#This Row],[Data]])</f>
        <v>13</v>
      </c>
      <c r="G10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094" spans="1:7">
      <c r="A1094" s="11" t="s">
        <v>4</v>
      </c>
      <c r="B1094" s="12">
        <v>44300</v>
      </c>
      <c r="C1094" s="1" t="s">
        <v>18</v>
      </c>
      <c r="D1094" s="1" t="s">
        <v>46</v>
      </c>
      <c r="E1094" s="13">
        <v>2</v>
      </c>
      <c r="F1094" s="11">
        <f>DAY(Tabela5[[#This Row],[Data]])</f>
        <v>14</v>
      </c>
      <c r="G10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095" spans="1:7">
      <c r="A1095" s="11" t="s">
        <v>4</v>
      </c>
      <c r="B1095" s="12">
        <v>44301</v>
      </c>
      <c r="C1095" s="1" t="s">
        <v>18</v>
      </c>
      <c r="D1095" s="1" t="s">
        <v>46</v>
      </c>
      <c r="E1095" s="13">
        <v>1</v>
      </c>
      <c r="F1095" s="11">
        <f>DAY(Tabela5[[#This Row],[Data]])</f>
        <v>15</v>
      </c>
      <c r="G10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96" spans="1:7">
      <c r="A1096" s="11" t="s">
        <v>4</v>
      </c>
      <c r="B1096" s="12">
        <v>44301</v>
      </c>
      <c r="C1096" s="1" t="s">
        <v>18</v>
      </c>
      <c r="D1096" s="1" t="s">
        <v>46</v>
      </c>
      <c r="E1096" s="13">
        <v>2</v>
      </c>
      <c r="F1096" s="11">
        <f>DAY(Tabela5[[#This Row],[Data]])</f>
        <v>15</v>
      </c>
      <c r="G10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097" spans="1:7">
      <c r="A1097" s="11" t="s">
        <v>4</v>
      </c>
      <c r="B1097" s="12">
        <v>44302</v>
      </c>
      <c r="C1097" s="1" t="s">
        <v>18</v>
      </c>
      <c r="D1097" s="1" t="s">
        <v>46</v>
      </c>
      <c r="E1097" s="13">
        <v>1</v>
      </c>
      <c r="F1097" s="11">
        <f>DAY(Tabela5[[#This Row],[Data]])</f>
        <v>16</v>
      </c>
      <c r="G10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98" spans="1:7">
      <c r="A1098" s="11" t="s">
        <v>4</v>
      </c>
      <c r="B1098" s="12">
        <v>44302</v>
      </c>
      <c r="C1098" s="1" t="s">
        <v>18</v>
      </c>
      <c r="D1098" s="1" t="s">
        <v>46</v>
      </c>
      <c r="E1098" s="13">
        <v>2</v>
      </c>
      <c r="F1098" s="11">
        <f>DAY(Tabela5[[#This Row],[Data]])</f>
        <v>16</v>
      </c>
      <c r="G10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099" spans="1:7">
      <c r="A1099" s="11" t="s">
        <v>4</v>
      </c>
      <c r="B1099" s="12">
        <v>44302</v>
      </c>
      <c r="C1099" s="1" t="s">
        <v>18</v>
      </c>
      <c r="D1099" s="1" t="s">
        <v>46</v>
      </c>
      <c r="E1099" s="13">
        <v>1</v>
      </c>
      <c r="F1099" s="11">
        <f>DAY(Tabela5[[#This Row],[Data]])</f>
        <v>16</v>
      </c>
      <c r="G10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00" spans="1:7">
      <c r="A1100" s="11" t="s">
        <v>4</v>
      </c>
      <c r="B1100" s="12">
        <v>44305</v>
      </c>
      <c r="C1100" s="1" t="s">
        <v>18</v>
      </c>
      <c r="D1100" s="1" t="s">
        <v>46</v>
      </c>
      <c r="E1100" s="13">
        <v>1</v>
      </c>
      <c r="F1100" s="11">
        <f>DAY(Tabela5[[#This Row],[Data]])</f>
        <v>19</v>
      </c>
      <c r="G11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01" spans="1:7">
      <c r="A1101" s="11" t="s">
        <v>4</v>
      </c>
      <c r="B1101" s="12">
        <v>44305</v>
      </c>
      <c r="C1101" s="1" t="s">
        <v>18</v>
      </c>
      <c r="D1101" s="1" t="s">
        <v>46</v>
      </c>
      <c r="E1101" s="13">
        <v>2</v>
      </c>
      <c r="F1101" s="11">
        <f>DAY(Tabela5[[#This Row],[Data]])</f>
        <v>19</v>
      </c>
      <c r="G11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02" spans="1:7">
      <c r="A1102" s="11" t="s">
        <v>4</v>
      </c>
      <c r="B1102" s="12">
        <v>44306</v>
      </c>
      <c r="C1102" s="1" t="s">
        <v>18</v>
      </c>
      <c r="D1102" s="1" t="s">
        <v>46</v>
      </c>
      <c r="E1102" s="13">
        <v>1</v>
      </c>
      <c r="F1102" s="11">
        <f>DAY(Tabela5[[#This Row],[Data]])</f>
        <v>20</v>
      </c>
      <c r="G11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03" spans="1:7">
      <c r="A1103" s="11" t="s">
        <v>4</v>
      </c>
      <c r="B1103" s="12">
        <v>44306</v>
      </c>
      <c r="C1103" s="1" t="s">
        <v>18</v>
      </c>
      <c r="D1103" s="1" t="s">
        <v>46</v>
      </c>
      <c r="E1103" s="13">
        <v>1</v>
      </c>
      <c r="F1103" s="11">
        <f>DAY(Tabela5[[#This Row],[Data]])</f>
        <v>20</v>
      </c>
      <c r="G11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04" spans="1:7">
      <c r="A1104" s="11" t="s">
        <v>4</v>
      </c>
      <c r="B1104" s="12">
        <v>44307</v>
      </c>
      <c r="C1104" s="1" t="s">
        <v>18</v>
      </c>
      <c r="D1104" s="1" t="s">
        <v>46</v>
      </c>
      <c r="E1104" s="13">
        <v>1</v>
      </c>
      <c r="F1104" s="11">
        <f>DAY(Tabela5[[#This Row],[Data]])</f>
        <v>21</v>
      </c>
      <c r="G11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05" spans="1:7">
      <c r="A1105" s="11" t="s">
        <v>4</v>
      </c>
      <c r="B1105" s="12">
        <v>44308</v>
      </c>
      <c r="C1105" s="1" t="s">
        <v>18</v>
      </c>
      <c r="D1105" s="1" t="s">
        <v>46</v>
      </c>
      <c r="E1105" s="13">
        <v>2</v>
      </c>
      <c r="F1105" s="11">
        <f>DAY(Tabela5[[#This Row],[Data]])</f>
        <v>22</v>
      </c>
      <c r="G11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06" spans="1:7">
      <c r="A1106" s="11" t="s">
        <v>4</v>
      </c>
      <c r="B1106" s="12">
        <v>44308</v>
      </c>
      <c r="C1106" s="1" t="s">
        <v>18</v>
      </c>
      <c r="D1106" s="1" t="s">
        <v>46</v>
      </c>
      <c r="E1106" s="13">
        <v>1</v>
      </c>
      <c r="F1106" s="11">
        <f>DAY(Tabela5[[#This Row],[Data]])</f>
        <v>22</v>
      </c>
      <c r="G11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07" spans="1:7">
      <c r="A1107" s="11" t="s">
        <v>4</v>
      </c>
      <c r="B1107" s="12">
        <v>44309</v>
      </c>
      <c r="C1107" s="1" t="s">
        <v>18</v>
      </c>
      <c r="D1107" s="1" t="s">
        <v>46</v>
      </c>
      <c r="E1107" s="13">
        <v>1</v>
      </c>
      <c r="F1107" s="11">
        <f>DAY(Tabela5[[#This Row],[Data]])</f>
        <v>23</v>
      </c>
      <c r="G11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08" spans="1:7">
      <c r="A1108" s="11" t="s">
        <v>4</v>
      </c>
      <c r="B1108" s="12">
        <v>44309</v>
      </c>
      <c r="C1108" s="1" t="s">
        <v>18</v>
      </c>
      <c r="D1108" s="1" t="s">
        <v>46</v>
      </c>
      <c r="E1108" s="13">
        <v>2</v>
      </c>
      <c r="F1108" s="11">
        <f>DAY(Tabela5[[#This Row],[Data]])</f>
        <v>23</v>
      </c>
      <c r="G11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09" spans="1:7">
      <c r="A1109" s="11" t="s">
        <v>4</v>
      </c>
      <c r="B1109" s="12">
        <v>44311</v>
      </c>
      <c r="C1109" s="1" t="s">
        <v>18</v>
      </c>
      <c r="D1109" s="1" t="s">
        <v>46</v>
      </c>
      <c r="E1109" s="13">
        <v>1</v>
      </c>
      <c r="F1109" s="11">
        <f>DAY(Tabela5[[#This Row],[Data]])</f>
        <v>25</v>
      </c>
      <c r="G11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1110" spans="1:7">
      <c r="A1110" s="11" t="s">
        <v>4</v>
      </c>
      <c r="B1110" s="12">
        <v>44312</v>
      </c>
      <c r="C1110" s="1" t="s">
        <v>18</v>
      </c>
      <c r="D1110" s="1" t="s">
        <v>46</v>
      </c>
      <c r="E1110" s="13">
        <v>1</v>
      </c>
      <c r="F1110" s="11">
        <f>DAY(Tabela5[[#This Row],[Data]])</f>
        <v>26</v>
      </c>
      <c r="G11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11" spans="1:7">
      <c r="A1111" s="11" t="s">
        <v>4</v>
      </c>
      <c r="B1111" s="12">
        <v>44313</v>
      </c>
      <c r="C1111" s="1" t="s">
        <v>18</v>
      </c>
      <c r="D1111" s="1" t="s">
        <v>46</v>
      </c>
      <c r="E1111" s="13">
        <v>2</v>
      </c>
      <c r="F1111" s="11">
        <f>DAY(Tabela5[[#This Row],[Data]])</f>
        <v>27</v>
      </c>
      <c r="G11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12" spans="1:7">
      <c r="A1112" s="11" t="s">
        <v>4</v>
      </c>
      <c r="B1112" s="12">
        <v>44313</v>
      </c>
      <c r="C1112" s="1" t="s">
        <v>18</v>
      </c>
      <c r="D1112" s="1" t="s">
        <v>46</v>
      </c>
      <c r="E1112" s="13">
        <v>2</v>
      </c>
      <c r="F1112" s="11">
        <f>DAY(Tabela5[[#This Row],[Data]])</f>
        <v>27</v>
      </c>
      <c r="G11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13" spans="1:7">
      <c r="A1113" s="11" t="s">
        <v>4</v>
      </c>
      <c r="B1113" s="12">
        <v>44314</v>
      </c>
      <c r="C1113" s="1" t="s">
        <v>18</v>
      </c>
      <c r="D1113" s="1" t="s">
        <v>46</v>
      </c>
      <c r="E1113" s="13">
        <v>1</v>
      </c>
      <c r="F1113" s="11">
        <f>DAY(Tabela5[[#This Row],[Data]])</f>
        <v>28</v>
      </c>
      <c r="G11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14" spans="1:7">
      <c r="A1114" s="11" t="s">
        <v>4</v>
      </c>
      <c r="B1114" s="12">
        <v>44314</v>
      </c>
      <c r="C1114" s="1" t="s">
        <v>18</v>
      </c>
      <c r="D1114" s="1" t="s">
        <v>46</v>
      </c>
      <c r="E1114" s="13">
        <v>1</v>
      </c>
      <c r="F1114" s="11">
        <f>DAY(Tabela5[[#This Row],[Data]])</f>
        <v>28</v>
      </c>
      <c r="G11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15" spans="1:7">
      <c r="A1115" s="11" t="s">
        <v>4</v>
      </c>
      <c r="B1115" s="12">
        <v>44315</v>
      </c>
      <c r="C1115" s="1" t="s">
        <v>18</v>
      </c>
      <c r="D1115" s="1" t="s">
        <v>46</v>
      </c>
      <c r="E1115" s="13">
        <v>1</v>
      </c>
      <c r="F1115" s="11">
        <f>DAY(Tabela5[[#This Row],[Data]])</f>
        <v>29</v>
      </c>
      <c r="G11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16" spans="1:7">
      <c r="A1116" s="11" t="s">
        <v>4</v>
      </c>
      <c r="B1116" s="12">
        <v>44316</v>
      </c>
      <c r="C1116" s="1" t="s">
        <v>18</v>
      </c>
      <c r="D1116" s="1" t="s">
        <v>46</v>
      </c>
      <c r="E1116" s="13">
        <v>1</v>
      </c>
      <c r="F1116" s="11">
        <f>DAY(Tabela5[[#This Row],[Data]])</f>
        <v>30</v>
      </c>
      <c r="G11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17" spans="1:7">
      <c r="A1117" s="11" t="s">
        <v>4</v>
      </c>
      <c r="B1117" s="12">
        <v>44316</v>
      </c>
      <c r="C1117" s="1" t="s">
        <v>18</v>
      </c>
      <c r="D1117" s="1" t="s">
        <v>46</v>
      </c>
      <c r="E1117" s="13">
        <v>1</v>
      </c>
      <c r="F1117" s="11">
        <f>DAY(Tabela5[[#This Row],[Data]])</f>
        <v>30</v>
      </c>
      <c r="G11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18" spans="1:7">
      <c r="A1118" s="11" t="s">
        <v>4</v>
      </c>
      <c r="B1118" s="12">
        <v>44287</v>
      </c>
      <c r="C1118" s="1" t="s">
        <v>19</v>
      </c>
      <c r="D1118" s="1" t="s">
        <v>46</v>
      </c>
      <c r="E1118" s="13">
        <v>2</v>
      </c>
      <c r="F1118" s="11">
        <f>DAY(Tabela5[[#This Row],[Data]])</f>
        <v>1</v>
      </c>
      <c r="G11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19" spans="1:7">
      <c r="A1119" s="11" t="s">
        <v>4</v>
      </c>
      <c r="B1119" s="12">
        <v>44287</v>
      </c>
      <c r="C1119" s="1" t="s">
        <v>19</v>
      </c>
      <c r="D1119" s="1" t="s">
        <v>46</v>
      </c>
      <c r="E1119" s="13">
        <v>1</v>
      </c>
      <c r="F1119" s="11">
        <f>DAY(Tabela5[[#This Row],[Data]])</f>
        <v>1</v>
      </c>
      <c r="G11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20" spans="1:7">
      <c r="A1120" s="11" t="s">
        <v>4</v>
      </c>
      <c r="B1120" s="12">
        <v>44287</v>
      </c>
      <c r="C1120" s="1" t="s">
        <v>19</v>
      </c>
      <c r="D1120" s="1" t="s">
        <v>46</v>
      </c>
      <c r="E1120" s="13">
        <v>1</v>
      </c>
      <c r="F1120" s="11">
        <f>DAY(Tabela5[[#This Row],[Data]])</f>
        <v>1</v>
      </c>
      <c r="G11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21" spans="1:7">
      <c r="A1121" s="11" t="s">
        <v>4</v>
      </c>
      <c r="B1121" s="12">
        <v>44291</v>
      </c>
      <c r="C1121" s="1" t="s">
        <v>19</v>
      </c>
      <c r="D1121" s="1" t="s">
        <v>46</v>
      </c>
      <c r="E1121" s="13">
        <v>2</v>
      </c>
      <c r="F1121" s="11">
        <f>DAY(Tabela5[[#This Row],[Data]])</f>
        <v>5</v>
      </c>
      <c r="G11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22" spans="1:7">
      <c r="A1122" s="11" t="s">
        <v>4</v>
      </c>
      <c r="B1122" s="12">
        <v>44292</v>
      </c>
      <c r="C1122" s="1" t="s">
        <v>19</v>
      </c>
      <c r="D1122" s="1" t="s">
        <v>46</v>
      </c>
      <c r="E1122" s="13">
        <v>1</v>
      </c>
      <c r="F1122" s="11">
        <f>DAY(Tabela5[[#This Row],[Data]])</f>
        <v>6</v>
      </c>
      <c r="G11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23" spans="1:7">
      <c r="A1123" s="11" t="s">
        <v>4</v>
      </c>
      <c r="B1123" s="12">
        <v>44292</v>
      </c>
      <c r="C1123" s="1" t="s">
        <v>19</v>
      </c>
      <c r="D1123" s="1" t="s">
        <v>46</v>
      </c>
      <c r="E1123" s="13">
        <v>1</v>
      </c>
      <c r="F1123" s="11">
        <f>DAY(Tabela5[[#This Row],[Data]])</f>
        <v>6</v>
      </c>
      <c r="G112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24" spans="1:7">
      <c r="A1124" s="11" t="s">
        <v>4</v>
      </c>
      <c r="B1124" s="12">
        <v>44293</v>
      </c>
      <c r="C1124" s="1" t="s">
        <v>19</v>
      </c>
      <c r="D1124" s="1" t="s">
        <v>46</v>
      </c>
      <c r="E1124" s="13">
        <v>1</v>
      </c>
      <c r="F1124" s="11">
        <f>DAY(Tabela5[[#This Row],[Data]])</f>
        <v>7</v>
      </c>
      <c r="G112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25" spans="1:7">
      <c r="A1125" s="11" t="s">
        <v>4</v>
      </c>
      <c r="B1125" s="12">
        <v>44294</v>
      </c>
      <c r="C1125" s="1" t="s">
        <v>19</v>
      </c>
      <c r="D1125" s="1" t="s">
        <v>46</v>
      </c>
      <c r="E1125" s="13">
        <v>2</v>
      </c>
      <c r="F1125" s="11">
        <f>DAY(Tabela5[[#This Row],[Data]])</f>
        <v>8</v>
      </c>
      <c r="G112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26" spans="1:7">
      <c r="A1126" s="11" t="s">
        <v>4</v>
      </c>
      <c r="B1126" s="12">
        <v>44295</v>
      </c>
      <c r="C1126" s="1" t="s">
        <v>19</v>
      </c>
      <c r="D1126" s="1" t="s">
        <v>46</v>
      </c>
      <c r="E1126" s="13">
        <v>2</v>
      </c>
      <c r="F1126" s="11">
        <f>DAY(Tabela5[[#This Row],[Data]])</f>
        <v>9</v>
      </c>
      <c r="G112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27" spans="1:7">
      <c r="A1127" s="11" t="s">
        <v>4</v>
      </c>
      <c r="B1127" s="12">
        <v>44298</v>
      </c>
      <c r="C1127" s="1" t="s">
        <v>19</v>
      </c>
      <c r="D1127" s="1" t="s">
        <v>46</v>
      </c>
      <c r="E1127" s="13">
        <v>1</v>
      </c>
      <c r="F1127" s="11">
        <f>DAY(Tabela5[[#This Row],[Data]])</f>
        <v>12</v>
      </c>
      <c r="G112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28" spans="1:7">
      <c r="A1128" s="11" t="s">
        <v>4</v>
      </c>
      <c r="B1128" s="12">
        <v>44299</v>
      </c>
      <c r="C1128" s="1" t="s">
        <v>19</v>
      </c>
      <c r="D1128" s="1" t="s">
        <v>46</v>
      </c>
      <c r="E1128" s="13">
        <v>1</v>
      </c>
      <c r="F1128" s="11">
        <f>DAY(Tabela5[[#This Row],[Data]])</f>
        <v>13</v>
      </c>
      <c r="G112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29" spans="1:7">
      <c r="A1129" s="11" t="s">
        <v>4</v>
      </c>
      <c r="B1129" s="12">
        <v>44299</v>
      </c>
      <c r="C1129" s="1" t="s">
        <v>19</v>
      </c>
      <c r="D1129" s="1" t="s">
        <v>46</v>
      </c>
      <c r="E1129" s="13">
        <v>2</v>
      </c>
      <c r="F1129" s="11">
        <f>DAY(Tabela5[[#This Row],[Data]])</f>
        <v>13</v>
      </c>
      <c r="G112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30" spans="1:7">
      <c r="A1130" s="11" t="s">
        <v>4</v>
      </c>
      <c r="B1130" s="12">
        <v>44300</v>
      </c>
      <c r="C1130" s="1" t="s">
        <v>19</v>
      </c>
      <c r="D1130" s="1" t="s">
        <v>46</v>
      </c>
      <c r="E1130" s="13">
        <v>1</v>
      </c>
      <c r="F1130" s="11">
        <f>DAY(Tabela5[[#This Row],[Data]])</f>
        <v>14</v>
      </c>
      <c r="G113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31" spans="1:7">
      <c r="A1131" s="11" t="s">
        <v>4</v>
      </c>
      <c r="B1131" s="12">
        <v>44300</v>
      </c>
      <c r="C1131" s="1" t="s">
        <v>19</v>
      </c>
      <c r="D1131" s="1" t="s">
        <v>46</v>
      </c>
      <c r="E1131" s="13">
        <v>1</v>
      </c>
      <c r="F1131" s="11">
        <f>DAY(Tabela5[[#This Row],[Data]])</f>
        <v>14</v>
      </c>
      <c r="G113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32" spans="1:7">
      <c r="A1132" s="11" t="s">
        <v>4</v>
      </c>
      <c r="B1132" s="12">
        <v>44300</v>
      </c>
      <c r="C1132" s="1" t="s">
        <v>19</v>
      </c>
      <c r="D1132" s="1" t="s">
        <v>46</v>
      </c>
      <c r="E1132" s="13">
        <v>2</v>
      </c>
      <c r="F1132" s="11">
        <f>DAY(Tabela5[[#This Row],[Data]])</f>
        <v>14</v>
      </c>
      <c r="G113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33" spans="1:7">
      <c r="A1133" s="11" t="s">
        <v>4</v>
      </c>
      <c r="B1133" s="12">
        <v>44301</v>
      </c>
      <c r="C1133" s="1" t="s">
        <v>19</v>
      </c>
      <c r="D1133" s="1" t="s">
        <v>46</v>
      </c>
      <c r="E1133" s="13">
        <v>1</v>
      </c>
      <c r="F1133" s="11">
        <f>DAY(Tabela5[[#This Row],[Data]])</f>
        <v>15</v>
      </c>
      <c r="G113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34" spans="1:7">
      <c r="A1134" s="11" t="s">
        <v>4</v>
      </c>
      <c r="B1134" s="12">
        <v>44302</v>
      </c>
      <c r="C1134" s="1" t="s">
        <v>19</v>
      </c>
      <c r="D1134" s="1" t="s">
        <v>46</v>
      </c>
      <c r="E1134" s="13">
        <v>2</v>
      </c>
      <c r="F1134" s="11">
        <f>DAY(Tabela5[[#This Row],[Data]])</f>
        <v>16</v>
      </c>
      <c r="G113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35" spans="1:7">
      <c r="A1135" s="11" t="s">
        <v>4</v>
      </c>
      <c r="B1135" s="12">
        <v>44302</v>
      </c>
      <c r="C1135" s="1" t="s">
        <v>19</v>
      </c>
      <c r="D1135" s="1" t="s">
        <v>46</v>
      </c>
      <c r="E1135" s="13">
        <v>2</v>
      </c>
      <c r="F1135" s="11">
        <f>DAY(Tabela5[[#This Row],[Data]])</f>
        <v>16</v>
      </c>
      <c r="G113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36" spans="1:7">
      <c r="A1136" s="11" t="s">
        <v>4</v>
      </c>
      <c r="B1136" s="12">
        <v>44302</v>
      </c>
      <c r="C1136" s="1" t="s">
        <v>19</v>
      </c>
      <c r="D1136" s="1" t="s">
        <v>46</v>
      </c>
      <c r="E1136" s="13">
        <v>2</v>
      </c>
      <c r="F1136" s="11">
        <f>DAY(Tabela5[[#This Row],[Data]])</f>
        <v>16</v>
      </c>
      <c r="G113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37" spans="1:7">
      <c r="A1137" s="11" t="s">
        <v>4</v>
      </c>
      <c r="B1137" s="12">
        <v>44305</v>
      </c>
      <c r="C1137" s="1" t="s">
        <v>19</v>
      </c>
      <c r="D1137" s="1" t="s">
        <v>46</v>
      </c>
      <c r="E1137" s="13">
        <v>2</v>
      </c>
      <c r="F1137" s="11">
        <f>DAY(Tabela5[[#This Row],[Data]])</f>
        <v>19</v>
      </c>
      <c r="G113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38" spans="1:7">
      <c r="A1138" s="11" t="s">
        <v>4</v>
      </c>
      <c r="B1138" s="12">
        <v>44306</v>
      </c>
      <c r="C1138" s="1" t="s">
        <v>19</v>
      </c>
      <c r="D1138" s="1" t="s">
        <v>46</v>
      </c>
      <c r="E1138" s="13">
        <v>1</v>
      </c>
      <c r="F1138" s="11">
        <f>DAY(Tabela5[[#This Row],[Data]])</f>
        <v>20</v>
      </c>
      <c r="G113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39" spans="1:7">
      <c r="A1139" s="11" t="s">
        <v>4</v>
      </c>
      <c r="B1139" s="12">
        <v>44306</v>
      </c>
      <c r="C1139" s="1" t="s">
        <v>19</v>
      </c>
      <c r="D1139" s="1" t="s">
        <v>46</v>
      </c>
      <c r="E1139" s="13">
        <v>2</v>
      </c>
      <c r="F1139" s="11">
        <f>DAY(Tabela5[[#This Row],[Data]])</f>
        <v>20</v>
      </c>
      <c r="G113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40" spans="1:7">
      <c r="A1140" s="11" t="s">
        <v>4</v>
      </c>
      <c r="B1140" s="12">
        <v>44308</v>
      </c>
      <c r="C1140" s="1" t="s">
        <v>19</v>
      </c>
      <c r="D1140" s="1" t="s">
        <v>46</v>
      </c>
      <c r="E1140" s="13">
        <v>1</v>
      </c>
      <c r="F1140" s="11">
        <f>DAY(Tabela5[[#This Row],[Data]])</f>
        <v>22</v>
      </c>
      <c r="G114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41" spans="1:7">
      <c r="A1141" s="11" t="s">
        <v>4</v>
      </c>
      <c r="B1141" s="12">
        <v>44309</v>
      </c>
      <c r="C1141" s="1" t="s">
        <v>19</v>
      </c>
      <c r="D1141" s="1" t="s">
        <v>46</v>
      </c>
      <c r="E1141" s="13">
        <v>2</v>
      </c>
      <c r="F1141" s="11">
        <f>DAY(Tabela5[[#This Row],[Data]])</f>
        <v>23</v>
      </c>
      <c r="G114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42" spans="1:7">
      <c r="A1142" s="11" t="s">
        <v>4</v>
      </c>
      <c r="B1142" s="12">
        <v>44312</v>
      </c>
      <c r="C1142" s="1" t="s">
        <v>19</v>
      </c>
      <c r="D1142" s="1" t="s">
        <v>46</v>
      </c>
      <c r="E1142" s="13">
        <v>1</v>
      </c>
      <c r="F1142" s="11">
        <f>DAY(Tabela5[[#This Row],[Data]])</f>
        <v>26</v>
      </c>
      <c r="G114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43" spans="1:7">
      <c r="A1143" s="11" t="s">
        <v>4</v>
      </c>
      <c r="B1143" s="12">
        <v>44312</v>
      </c>
      <c r="C1143" s="1" t="s">
        <v>19</v>
      </c>
      <c r="D1143" s="1" t="s">
        <v>46</v>
      </c>
      <c r="E1143" s="13">
        <v>1</v>
      </c>
      <c r="F1143" s="11">
        <f>DAY(Tabela5[[#This Row],[Data]])</f>
        <v>26</v>
      </c>
      <c r="G114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44" spans="1:7">
      <c r="A1144" s="11" t="s">
        <v>4</v>
      </c>
      <c r="B1144" s="12">
        <v>44312</v>
      </c>
      <c r="C1144" s="1" t="s">
        <v>19</v>
      </c>
      <c r="D1144" s="1" t="s">
        <v>46</v>
      </c>
      <c r="E1144" s="13">
        <v>1</v>
      </c>
      <c r="F1144" s="11">
        <f>DAY(Tabela5[[#This Row],[Data]])</f>
        <v>26</v>
      </c>
      <c r="G114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45" spans="1:7">
      <c r="A1145" s="11" t="s">
        <v>4</v>
      </c>
      <c r="B1145" s="12">
        <v>44313</v>
      </c>
      <c r="C1145" s="1" t="s">
        <v>19</v>
      </c>
      <c r="D1145" s="1" t="s">
        <v>46</v>
      </c>
      <c r="E1145" s="13">
        <v>1</v>
      </c>
      <c r="F1145" s="11">
        <f>DAY(Tabela5[[#This Row],[Data]])</f>
        <v>27</v>
      </c>
      <c r="G114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46" spans="1:7">
      <c r="A1146" s="11" t="s">
        <v>4</v>
      </c>
      <c r="B1146" s="12">
        <v>44314</v>
      </c>
      <c r="C1146" s="1" t="s">
        <v>19</v>
      </c>
      <c r="D1146" s="1" t="s">
        <v>46</v>
      </c>
      <c r="E1146" s="13">
        <v>1</v>
      </c>
      <c r="F1146" s="11">
        <f>DAY(Tabela5[[#This Row],[Data]])</f>
        <v>28</v>
      </c>
      <c r="G114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47" spans="1:7">
      <c r="A1147" s="11" t="s">
        <v>4</v>
      </c>
      <c r="B1147" s="12">
        <v>44315</v>
      </c>
      <c r="C1147" s="1" t="s">
        <v>19</v>
      </c>
      <c r="D1147" s="1" t="s">
        <v>46</v>
      </c>
      <c r="E1147" s="13">
        <v>1</v>
      </c>
      <c r="F1147" s="11">
        <f>DAY(Tabela5[[#This Row],[Data]])</f>
        <v>29</v>
      </c>
      <c r="G114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48" spans="1:7">
      <c r="A1148" s="11" t="s">
        <v>4</v>
      </c>
      <c r="B1148" s="12">
        <v>44316</v>
      </c>
      <c r="C1148" s="1" t="s">
        <v>19</v>
      </c>
      <c r="D1148" s="1" t="s">
        <v>46</v>
      </c>
      <c r="E1148" s="13">
        <v>2</v>
      </c>
      <c r="F1148" s="11">
        <f>DAY(Tabela5[[#This Row],[Data]])</f>
        <v>30</v>
      </c>
      <c r="G114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49" spans="1:7">
      <c r="A1149" s="11" t="s">
        <v>4</v>
      </c>
      <c r="B1149" s="12">
        <v>44316</v>
      </c>
      <c r="C1149" s="1" t="s">
        <v>19</v>
      </c>
      <c r="D1149" s="1" t="s">
        <v>46</v>
      </c>
      <c r="E1149" s="13">
        <v>1</v>
      </c>
      <c r="F1149" s="11">
        <f>DAY(Tabela5[[#This Row],[Data]])</f>
        <v>30</v>
      </c>
      <c r="G114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50" spans="1:7">
      <c r="A1150" s="11" t="s">
        <v>4</v>
      </c>
      <c r="B1150" s="12">
        <v>44316</v>
      </c>
      <c r="C1150" s="1" t="s">
        <v>19</v>
      </c>
      <c r="D1150" s="1" t="s">
        <v>46</v>
      </c>
      <c r="E1150" s="13">
        <v>1</v>
      </c>
      <c r="F1150" s="11">
        <f>DAY(Tabela5[[#This Row],[Data]])</f>
        <v>30</v>
      </c>
      <c r="G115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51" spans="1:7">
      <c r="A1151" s="11" t="s">
        <v>4</v>
      </c>
      <c r="B1151" s="12">
        <v>44287</v>
      </c>
      <c r="C1151" s="1" t="s">
        <v>20</v>
      </c>
      <c r="D1151" s="1" t="s">
        <v>46</v>
      </c>
      <c r="E1151" s="13">
        <v>1</v>
      </c>
      <c r="F1151" s="11">
        <f>DAY(Tabela5[[#This Row],[Data]])</f>
        <v>1</v>
      </c>
      <c r="G115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52" spans="1:7">
      <c r="A1152" s="11" t="s">
        <v>4</v>
      </c>
      <c r="B1152" s="12">
        <v>44290</v>
      </c>
      <c r="C1152" s="1" t="s">
        <v>20</v>
      </c>
      <c r="D1152" s="1" t="s">
        <v>46</v>
      </c>
      <c r="E1152" s="13">
        <v>1</v>
      </c>
      <c r="F1152" s="11">
        <f>DAY(Tabela5[[#This Row],[Data]])</f>
        <v>4</v>
      </c>
      <c r="G115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1153" spans="1:7">
      <c r="A1153" s="11" t="s">
        <v>4</v>
      </c>
      <c r="B1153" s="12">
        <v>44291</v>
      </c>
      <c r="C1153" s="1" t="s">
        <v>20</v>
      </c>
      <c r="D1153" s="1" t="s">
        <v>46</v>
      </c>
      <c r="E1153" s="13">
        <v>2</v>
      </c>
      <c r="F1153" s="11">
        <f>DAY(Tabela5[[#This Row],[Data]])</f>
        <v>5</v>
      </c>
      <c r="G115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54" spans="1:7">
      <c r="A1154" s="11" t="s">
        <v>4</v>
      </c>
      <c r="B1154" s="12">
        <v>44292</v>
      </c>
      <c r="C1154" s="1" t="s">
        <v>20</v>
      </c>
      <c r="D1154" s="1" t="s">
        <v>46</v>
      </c>
      <c r="E1154" s="13">
        <v>2</v>
      </c>
      <c r="F1154" s="11">
        <f>DAY(Tabela5[[#This Row],[Data]])</f>
        <v>6</v>
      </c>
      <c r="G115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55" spans="1:7">
      <c r="A1155" s="11" t="s">
        <v>4</v>
      </c>
      <c r="B1155" s="12">
        <v>44293</v>
      </c>
      <c r="C1155" s="1" t="s">
        <v>20</v>
      </c>
      <c r="D1155" s="1" t="s">
        <v>46</v>
      </c>
      <c r="E1155" s="13">
        <v>1</v>
      </c>
      <c r="F1155" s="11">
        <f>DAY(Tabela5[[#This Row],[Data]])</f>
        <v>7</v>
      </c>
      <c r="G115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56" spans="1:7">
      <c r="A1156" s="11" t="s">
        <v>4</v>
      </c>
      <c r="B1156" s="12">
        <v>44294</v>
      </c>
      <c r="C1156" s="1" t="s">
        <v>20</v>
      </c>
      <c r="D1156" s="1" t="s">
        <v>46</v>
      </c>
      <c r="E1156" s="13">
        <v>2</v>
      </c>
      <c r="F1156" s="11">
        <f>DAY(Tabela5[[#This Row],[Data]])</f>
        <v>8</v>
      </c>
      <c r="G115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57" spans="1:7">
      <c r="A1157" s="11" t="s">
        <v>4</v>
      </c>
      <c r="B1157" s="12">
        <v>44295</v>
      </c>
      <c r="C1157" s="1" t="s">
        <v>20</v>
      </c>
      <c r="D1157" s="1" t="s">
        <v>46</v>
      </c>
      <c r="E1157" s="13">
        <v>2</v>
      </c>
      <c r="F1157" s="11">
        <f>DAY(Tabela5[[#This Row],[Data]])</f>
        <v>9</v>
      </c>
      <c r="G115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58" spans="1:7">
      <c r="A1158" s="11" t="s">
        <v>4</v>
      </c>
      <c r="B1158" s="12">
        <v>44298</v>
      </c>
      <c r="C1158" s="1" t="s">
        <v>20</v>
      </c>
      <c r="D1158" s="1" t="s">
        <v>46</v>
      </c>
      <c r="E1158" s="13">
        <v>2</v>
      </c>
      <c r="F1158" s="11">
        <f>DAY(Tabela5[[#This Row],[Data]])</f>
        <v>12</v>
      </c>
      <c r="G115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59" spans="1:7">
      <c r="A1159" s="11" t="s">
        <v>4</v>
      </c>
      <c r="B1159" s="12">
        <v>44298</v>
      </c>
      <c r="C1159" s="1" t="s">
        <v>20</v>
      </c>
      <c r="D1159" s="1" t="s">
        <v>46</v>
      </c>
      <c r="E1159" s="13">
        <v>2</v>
      </c>
      <c r="F1159" s="11">
        <f>DAY(Tabela5[[#This Row],[Data]])</f>
        <v>12</v>
      </c>
      <c r="G115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60" spans="1:7">
      <c r="A1160" s="11" t="s">
        <v>4</v>
      </c>
      <c r="B1160" s="12">
        <v>44298</v>
      </c>
      <c r="C1160" s="1" t="s">
        <v>20</v>
      </c>
      <c r="D1160" s="1" t="s">
        <v>46</v>
      </c>
      <c r="E1160" s="13">
        <v>2</v>
      </c>
      <c r="F1160" s="11">
        <f>DAY(Tabela5[[#This Row],[Data]])</f>
        <v>12</v>
      </c>
      <c r="G116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61" spans="1:7">
      <c r="A1161" s="11" t="s">
        <v>4</v>
      </c>
      <c r="B1161" s="12">
        <v>44299</v>
      </c>
      <c r="C1161" s="1" t="s">
        <v>20</v>
      </c>
      <c r="D1161" s="1" t="s">
        <v>46</v>
      </c>
      <c r="E1161" s="13">
        <v>2</v>
      </c>
      <c r="F1161" s="11">
        <f>DAY(Tabela5[[#This Row],[Data]])</f>
        <v>13</v>
      </c>
      <c r="G116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62" spans="1:7">
      <c r="A1162" s="11" t="s">
        <v>4</v>
      </c>
      <c r="B1162" s="12">
        <v>44299</v>
      </c>
      <c r="C1162" s="1" t="s">
        <v>20</v>
      </c>
      <c r="D1162" s="1" t="s">
        <v>46</v>
      </c>
      <c r="E1162" s="13">
        <v>1</v>
      </c>
      <c r="F1162" s="11">
        <f>DAY(Tabela5[[#This Row],[Data]])</f>
        <v>13</v>
      </c>
      <c r="G116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63" spans="1:7">
      <c r="A1163" s="11" t="s">
        <v>4</v>
      </c>
      <c r="B1163" s="12">
        <v>44299</v>
      </c>
      <c r="C1163" s="1" t="s">
        <v>20</v>
      </c>
      <c r="D1163" s="1" t="s">
        <v>46</v>
      </c>
      <c r="E1163" s="13">
        <v>1</v>
      </c>
      <c r="F1163" s="11">
        <f>DAY(Tabela5[[#This Row],[Data]])</f>
        <v>13</v>
      </c>
      <c r="G116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64" spans="1:7">
      <c r="A1164" s="11" t="s">
        <v>4</v>
      </c>
      <c r="B1164" s="12">
        <v>44300</v>
      </c>
      <c r="C1164" s="1" t="s">
        <v>20</v>
      </c>
      <c r="D1164" s="1" t="s">
        <v>46</v>
      </c>
      <c r="E1164" s="13">
        <v>2</v>
      </c>
      <c r="F1164" s="11">
        <f>DAY(Tabela5[[#This Row],[Data]])</f>
        <v>14</v>
      </c>
      <c r="G116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65" spans="1:7">
      <c r="A1165" s="11" t="s">
        <v>4</v>
      </c>
      <c r="B1165" s="12">
        <v>44300</v>
      </c>
      <c r="C1165" s="1" t="s">
        <v>20</v>
      </c>
      <c r="D1165" s="1" t="s">
        <v>46</v>
      </c>
      <c r="E1165" s="13">
        <v>1</v>
      </c>
      <c r="F1165" s="11">
        <f>DAY(Tabela5[[#This Row],[Data]])</f>
        <v>14</v>
      </c>
      <c r="G116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66" spans="1:7">
      <c r="A1166" s="11" t="s">
        <v>4</v>
      </c>
      <c r="B1166" s="12">
        <v>44300</v>
      </c>
      <c r="C1166" s="1" t="s">
        <v>20</v>
      </c>
      <c r="D1166" s="1" t="s">
        <v>46</v>
      </c>
      <c r="E1166" s="13">
        <v>2</v>
      </c>
      <c r="F1166" s="11">
        <f>DAY(Tabela5[[#This Row],[Data]])</f>
        <v>14</v>
      </c>
      <c r="G116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67" spans="1:7">
      <c r="A1167" s="11" t="s">
        <v>4</v>
      </c>
      <c r="B1167" s="12">
        <v>44301</v>
      </c>
      <c r="C1167" s="1" t="s">
        <v>20</v>
      </c>
      <c r="D1167" s="1" t="s">
        <v>46</v>
      </c>
      <c r="E1167" s="13">
        <v>2</v>
      </c>
      <c r="F1167" s="11">
        <f>DAY(Tabela5[[#This Row],[Data]])</f>
        <v>15</v>
      </c>
      <c r="G116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68" spans="1:7">
      <c r="A1168" s="11" t="s">
        <v>4</v>
      </c>
      <c r="B1168" s="12">
        <v>44301</v>
      </c>
      <c r="C1168" s="1" t="s">
        <v>20</v>
      </c>
      <c r="D1168" s="1" t="s">
        <v>46</v>
      </c>
      <c r="E1168" s="13">
        <v>2</v>
      </c>
      <c r="F1168" s="11">
        <f>DAY(Tabela5[[#This Row],[Data]])</f>
        <v>15</v>
      </c>
      <c r="G116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69" spans="1:7">
      <c r="A1169" s="11" t="s">
        <v>4</v>
      </c>
      <c r="B1169" s="12">
        <v>44301</v>
      </c>
      <c r="C1169" s="1" t="s">
        <v>20</v>
      </c>
      <c r="D1169" s="1" t="s">
        <v>46</v>
      </c>
      <c r="E1169" s="13">
        <v>1</v>
      </c>
      <c r="F1169" s="11">
        <f>DAY(Tabela5[[#This Row],[Data]])</f>
        <v>15</v>
      </c>
      <c r="G116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70" spans="1:7">
      <c r="A1170" s="11" t="s">
        <v>4</v>
      </c>
      <c r="B1170" s="12">
        <v>44301</v>
      </c>
      <c r="C1170" s="1" t="s">
        <v>20</v>
      </c>
      <c r="D1170" s="1" t="s">
        <v>46</v>
      </c>
      <c r="E1170" s="13">
        <v>2</v>
      </c>
      <c r="F1170" s="11">
        <f>DAY(Tabela5[[#This Row],[Data]])</f>
        <v>15</v>
      </c>
      <c r="G117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71" spans="1:7">
      <c r="A1171" s="11" t="s">
        <v>4</v>
      </c>
      <c r="B1171" s="12">
        <v>44302</v>
      </c>
      <c r="C1171" s="1" t="s">
        <v>20</v>
      </c>
      <c r="D1171" s="1" t="s">
        <v>46</v>
      </c>
      <c r="E1171" s="13">
        <v>1</v>
      </c>
      <c r="F1171" s="11">
        <f>DAY(Tabela5[[#This Row],[Data]])</f>
        <v>16</v>
      </c>
      <c r="G117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72" spans="1:7">
      <c r="A1172" s="11" t="s">
        <v>4</v>
      </c>
      <c r="B1172" s="12">
        <v>44302</v>
      </c>
      <c r="C1172" s="1" t="s">
        <v>20</v>
      </c>
      <c r="D1172" s="1" t="s">
        <v>46</v>
      </c>
      <c r="E1172" s="13">
        <v>1</v>
      </c>
      <c r="F1172" s="11">
        <f>DAY(Tabela5[[#This Row],[Data]])</f>
        <v>16</v>
      </c>
      <c r="G117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73" spans="1:7">
      <c r="A1173" s="11" t="s">
        <v>4</v>
      </c>
      <c r="B1173" s="12">
        <v>44302</v>
      </c>
      <c r="C1173" s="1" t="s">
        <v>20</v>
      </c>
      <c r="D1173" s="1" t="s">
        <v>46</v>
      </c>
      <c r="E1173" s="13">
        <v>1</v>
      </c>
      <c r="F1173" s="11">
        <f>DAY(Tabela5[[#This Row],[Data]])</f>
        <v>16</v>
      </c>
      <c r="G117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74" spans="1:7">
      <c r="A1174" s="11" t="s">
        <v>4</v>
      </c>
      <c r="B1174" s="12">
        <v>44302</v>
      </c>
      <c r="C1174" s="1" t="s">
        <v>20</v>
      </c>
      <c r="D1174" s="1" t="s">
        <v>46</v>
      </c>
      <c r="E1174" s="13">
        <v>2</v>
      </c>
      <c r="F1174" s="11">
        <f>DAY(Tabela5[[#This Row],[Data]])</f>
        <v>16</v>
      </c>
      <c r="G117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75" spans="1:7">
      <c r="A1175" s="11" t="s">
        <v>4</v>
      </c>
      <c r="B1175" s="12">
        <v>44305</v>
      </c>
      <c r="C1175" s="1" t="s">
        <v>20</v>
      </c>
      <c r="D1175" s="1" t="s">
        <v>46</v>
      </c>
      <c r="E1175" s="13">
        <v>1</v>
      </c>
      <c r="F1175" s="11">
        <f>DAY(Tabela5[[#This Row],[Data]])</f>
        <v>19</v>
      </c>
      <c r="G117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76" spans="1:7">
      <c r="A1176" s="11" t="s">
        <v>4</v>
      </c>
      <c r="B1176" s="12">
        <v>44306</v>
      </c>
      <c r="C1176" s="1" t="s">
        <v>20</v>
      </c>
      <c r="D1176" s="1" t="s">
        <v>46</v>
      </c>
      <c r="E1176" s="13">
        <v>2</v>
      </c>
      <c r="F1176" s="11">
        <f>DAY(Tabela5[[#This Row],[Data]])</f>
        <v>20</v>
      </c>
      <c r="G117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77" spans="1:7">
      <c r="A1177" s="11" t="s">
        <v>4</v>
      </c>
      <c r="B1177" s="12">
        <v>44306</v>
      </c>
      <c r="C1177" s="1" t="s">
        <v>20</v>
      </c>
      <c r="D1177" s="1" t="s">
        <v>46</v>
      </c>
      <c r="E1177" s="13">
        <v>2</v>
      </c>
      <c r="F1177" s="11">
        <f>DAY(Tabela5[[#This Row],[Data]])</f>
        <v>20</v>
      </c>
      <c r="G117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78" spans="1:7">
      <c r="A1178" s="11" t="s">
        <v>4</v>
      </c>
      <c r="B1178" s="12">
        <v>44307</v>
      </c>
      <c r="C1178" s="1" t="s">
        <v>20</v>
      </c>
      <c r="D1178" s="1" t="s">
        <v>46</v>
      </c>
      <c r="E1178" s="13">
        <v>1</v>
      </c>
      <c r="F1178" s="11">
        <f>DAY(Tabela5[[#This Row],[Data]])</f>
        <v>21</v>
      </c>
      <c r="G117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79" spans="1:7">
      <c r="A1179" s="11" t="s">
        <v>4</v>
      </c>
      <c r="B1179" s="12">
        <v>44308</v>
      </c>
      <c r="C1179" s="1" t="s">
        <v>20</v>
      </c>
      <c r="D1179" s="1" t="s">
        <v>46</v>
      </c>
      <c r="E1179" s="13">
        <v>2</v>
      </c>
      <c r="F1179" s="11">
        <f>DAY(Tabela5[[#This Row],[Data]])</f>
        <v>22</v>
      </c>
      <c r="G117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80" spans="1:7">
      <c r="A1180" s="11" t="s">
        <v>4</v>
      </c>
      <c r="B1180" s="12">
        <v>44308</v>
      </c>
      <c r="C1180" s="1" t="s">
        <v>20</v>
      </c>
      <c r="D1180" s="1" t="s">
        <v>46</v>
      </c>
      <c r="E1180" s="13">
        <v>1</v>
      </c>
      <c r="F1180" s="11">
        <f>DAY(Tabela5[[#This Row],[Data]])</f>
        <v>22</v>
      </c>
      <c r="G118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81" spans="1:7">
      <c r="A1181" s="11" t="s">
        <v>4</v>
      </c>
      <c r="B1181" s="12">
        <v>44309</v>
      </c>
      <c r="C1181" s="1" t="s">
        <v>20</v>
      </c>
      <c r="D1181" s="1" t="s">
        <v>46</v>
      </c>
      <c r="E1181" s="13">
        <v>2</v>
      </c>
      <c r="F1181" s="11">
        <f>DAY(Tabela5[[#This Row],[Data]])</f>
        <v>23</v>
      </c>
      <c r="G118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82" spans="1:7">
      <c r="A1182" s="11" t="s">
        <v>4</v>
      </c>
      <c r="B1182" s="12">
        <v>44309</v>
      </c>
      <c r="C1182" s="1" t="s">
        <v>20</v>
      </c>
      <c r="D1182" s="1" t="s">
        <v>46</v>
      </c>
      <c r="E1182" s="13">
        <v>2</v>
      </c>
      <c r="F1182" s="11">
        <f>DAY(Tabela5[[#This Row],[Data]])</f>
        <v>23</v>
      </c>
      <c r="G118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83" spans="1:7">
      <c r="A1183" s="11" t="s">
        <v>4</v>
      </c>
      <c r="B1183" s="12">
        <v>44310</v>
      </c>
      <c r="C1183" s="1" t="s">
        <v>20</v>
      </c>
      <c r="D1183" s="1" t="s">
        <v>46</v>
      </c>
      <c r="E1183" s="13">
        <v>1</v>
      </c>
      <c r="F1183" s="11">
        <f>DAY(Tabela5[[#This Row],[Data]])</f>
        <v>24</v>
      </c>
      <c r="G118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1184" spans="1:7">
      <c r="A1184" s="11" t="s">
        <v>4</v>
      </c>
      <c r="B1184" s="12">
        <v>44312</v>
      </c>
      <c r="C1184" s="1" t="s">
        <v>20</v>
      </c>
      <c r="D1184" s="1" t="s">
        <v>46</v>
      </c>
      <c r="E1184" s="13">
        <v>1</v>
      </c>
      <c r="F1184" s="11">
        <f>DAY(Tabela5[[#This Row],[Data]])</f>
        <v>26</v>
      </c>
      <c r="G118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85" spans="1:7">
      <c r="A1185" s="11" t="s">
        <v>4</v>
      </c>
      <c r="B1185" s="12">
        <v>44313</v>
      </c>
      <c r="C1185" s="1" t="s">
        <v>20</v>
      </c>
      <c r="D1185" s="1" t="s">
        <v>46</v>
      </c>
      <c r="E1185" s="13">
        <v>2</v>
      </c>
      <c r="F1185" s="11">
        <f>DAY(Tabela5[[#This Row],[Data]])</f>
        <v>27</v>
      </c>
      <c r="G118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86" spans="1:7">
      <c r="A1186" s="11" t="s">
        <v>4</v>
      </c>
      <c r="B1186" s="12">
        <v>44313</v>
      </c>
      <c r="C1186" s="1" t="s">
        <v>20</v>
      </c>
      <c r="D1186" s="1" t="s">
        <v>46</v>
      </c>
      <c r="E1186" s="13">
        <v>1</v>
      </c>
      <c r="F1186" s="11">
        <f>DAY(Tabela5[[#This Row],[Data]])</f>
        <v>27</v>
      </c>
      <c r="G118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87" spans="1:7">
      <c r="A1187" s="11" t="s">
        <v>4</v>
      </c>
      <c r="B1187" s="12">
        <v>44314</v>
      </c>
      <c r="C1187" s="1" t="s">
        <v>20</v>
      </c>
      <c r="D1187" s="1" t="s">
        <v>46</v>
      </c>
      <c r="E1187" s="13">
        <v>2</v>
      </c>
      <c r="F1187" s="11">
        <f>DAY(Tabela5[[#This Row],[Data]])</f>
        <v>28</v>
      </c>
      <c r="G118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88" spans="1:7">
      <c r="A1188" s="11" t="s">
        <v>4</v>
      </c>
      <c r="B1188" s="12">
        <v>44314</v>
      </c>
      <c r="C1188" s="1" t="s">
        <v>20</v>
      </c>
      <c r="D1188" s="1" t="s">
        <v>46</v>
      </c>
      <c r="E1188" s="13">
        <v>1</v>
      </c>
      <c r="F1188" s="11">
        <f>DAY(Tabela5[[#This Row],[Data]])</f>
        <v>28</v>
      </c>
      <c r="G118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89" spans="1:7">
      <c r="A1189" s="11" t="s">
        <v>4</v>
      </c>
      <c r="B1189" s="12">
        <v>44314</v>
      </c>
      <c r="C1189" s="1" t="s">
        <v>20</v>
      </c>
      <c r="D1189" s="1" t="s">
        <v>46</v>
      </c>
      <c r="E1189" s="13">
        <v>1</v>
      </c>
      <c r="F1189" s="11">
        <f>DAY(Tabela5[[#This Row],[Data]])</f>
        <v>28</v>
      </c>
      <c r="G118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90" spans="1:7">
      <c r="A1190" s="11" t="s">
        <v>4</v>
      </c>
      <c r="B1190" s="12">
        <v>44315</v>
      </c>
      <c r="C1190" s="1" t="s">
        <v>20</v>
      </c>
      <c r="D1190" s="1" t="s">
        <v>46</v>
      </c>
      <c r="E1190" s="13">
        <v>1</v>
      </c>
      <c r="F1190" s="11">
        <f>DAY(Tabela5[[#This Row],[Data]])</f>
        <v>29</v>
      </c>
      <c r="G119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91" spans="1:7">
      <c r="A1191" s="11" t="s">
        <v>4</v>
      </c>
      <c r="B1191" s="12">
        <v>44316</v>
      </c>
      <c r="C1191" s="1" t="s">
        <v>20</v>
      </c>
      <c r="D1191" s="1" t="s">
        <v>46</v>
      </c>
      <c r="E1191" s="13">
        <v>1</v>
      </c>
      <c r="F1191" s="11">
        <f>DAY(Tabela5[[#This Row],[Data]])</f>
        <v>30</v>
      </c>
      <c r="G119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92" spans="1:7">
      <c r="A1192" s="11" t="s">
        <v>4</v>
      </c>
      <c r="B1192" s="12">
        <v>44316</v>
      </c>
      <c r="C1192" s="1" t="s">
        <v>20</v>
      </c>
      <c r="D1192" s="1" t="s">
        <v>46</v>
      </c>
      <c r="E1192" s="13">
        <v>2</v>
      </c>
      <c r="F1192" s="11">
        <f>DAY(Tabela5[[#This Row],[Data]])</f>
        <v>30</v>
      </c>
      <c r="G119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93" spans="1:7">
      <c r="A1193" s="11" t="s">
        <v>4</v>
      </c>
      <c r="B1193" s="12">
        <v>44291</v>
      </c>
      <c r="C1193" s="1" t="s">
        <v>44</v>
      </c>
      <c r="D1193" s="1" t="s">
        <v>46</v>
      </c>
      <c r="E1193" s="13">
        <v>2</v>
      </c>
      <c r="F1193" s="11">
        <f>DAY(Tabela5[[#This Row],[Data]])</f>
        <v>5</v>
      </c>
      <c r="G119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194" spans="1:7">
      <c r="A1194" s="11" t="s">
        <v>4</v>
      </c>
      <c r="B1194" s="12">
        <v>44292</v>
      </c>
      <c r="C1194" s="1" t="s">
        <v>44</v>
      </c>
      <c r="D1194" s="1" t="s">
        <v>46</v>
      </c>
      <c r="E1194" s="13">
        <v>1</v>
      </c>
      <c r="F1194" s="11">
        <f>DAY(Tabela5[[#This Row],[Data]])</f>
        <v>6</v>
      </c>
      <c r="G119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195" spans="1:7">
      <c r="A1195" s="11" t="s">
        <v>4</v>
      </c>
      <c r="B1195" s="12">
        <v>44293</v>
      </c>
      <c r="C1195" s="1" t="s">
        <v>44</v>
      </c>
      <c r="D1195" s="1" t="s">
        <v>46</v>
      </c>
      <c r="E1195" s="13">
        <v>2</v>
      </c>
      <c r="F1195" s="11">
        <f>DAY(Tabela5[[#This Row],[Data]])</f>
        <v>7</v>
      </c>
      <c r="G119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196" spans="1:7">
      <c r="A1196" s="11" t="s">
        <v>4</v>
      </c>
      <c r="B1196" s="12">
        <v>44294</v>
      </c>
      <c r="C1196" s="1" t="s">
        <v>44</v>
      </c>
      <c r="D1196" s="1" t="s">
        <v>46</v>
      </c>
      <c r="E1196" s="13">
        <v>1</v>
      </c>
      <c r="F1196" s="11">
        <f>DAY(Tabela5[[#This Row],[Data]])</f>
        <v>8</v>
      </c>
      <c r="G119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97" spans="1:7">
      <c r="A1197" s="11" t="s">
        <v>4</v>
      </c>
      <c r="B1197" s="12">
        <v>44294</v>
      </c>
      <c r="C1197" s="1" t="s">
        <v>44</v>
      </c>
      <c r="D1197" s="1" t="s">
        <v>46</v>
      </c>
      <c r="E1197" s="13">
        <v>2</v>
      </c>
      <c r="F1197" s="11">
        <f>DAY(Tabela5[[#This Row],[Data]])</f>
        <v>8</v>
      </c>
      <c r="G119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198" spans="1:7">
      <c r="A1198" s="11" t="s">
        <v>4</v>
      </c>
      <c r="B1198" s="12">
        <v>44295</v>
      </c>
      <c r="C1198" s="1" t="s">
        <v>44</v>
      </c>
      <c r="D1198" s="1" t="s">
        <v>46</v>
      </c>
      <c r="E1198" s="13">
        <v>2</v>
      </c>
      <c r="F1198" s="11">
        <f>DAY(Tabela5[[#This Row],[Data]])</f>
        <v>9</v>
      </c>
      <c r="G119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199" spans="1:7">
      <c r="A1199" s="11" t="s">
        <v>4</v>
      </c>
      <c r="B1199" s="12">
        <v>44295</v>
      </c>
      <c r="C1199" s="1" t="s">
        <v>44</v>
      </c>
      <c r="D1199" s="1" t="s">
        <v>46</v>
      </c>
      <c r="E1199" s="13">
        <v>1</v>
      </c>
      <c r="F1199" s="11">
        <f>DAY(Tabela5[[#This Row],[Data]])</f>
        <v>9</v>
      </c>
      <c r="G119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200" spans="1:7">
      <c r="A1200" s="11" t="s">
        <v>4</v>
      </c>
      <c r="B1200" s="12">
        <v>44297</v>
      </c>
      <c r="C1200" s="1" t="s">
        <v>44</v>
      </c>
      <c r="D1200" s="1" t="s">
        <v>46</v>
      </c>
      <c r="E1200" s="13">
        <v>2</v>
      </c>
      <c r="F1200" s="11">
        <f>DAY(Tabela5[[#This Row],[Data]])</f>
        <v>11</v>
      </c>
      <c r="G120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Fim de Semana</v>
      </c>
    </row>
    <row r="1201" spans="1:7">
      <c r="A1201" s="11" t="s">
        <v>4</v>
      </c>
      <c r="B1201" s="12">
        <v>44298</v>
      </c>
      <c r="C1201" s="1" t="s">
        <v>44</v>
      </c>
      <c r="D1201" s="1" t="s">
        <v>46</v>
      </c>
      <c r="E1201" s="13">
        <v>2</v>
      </c>
      <c r="F1201" s="11">
        <f>DAY(Tabela5[[#This Row],[Data]])</f>
        <v>12</v>
      </c>
      <c r="G120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202" spans="1:7">
      <c r="A1202" s="11" t="s">
        <v>4</v>
      </c>
      <c r="B1202" s="12">
        <v>44299</v>
      </c>
      <c r="C1202" s="1" t="s">
        <v>44</v>
      </c>
      <c r="D1202" s="1" t="s">
        <v>46</v>
      </c>
      <c r="E1202" s="13">
        <v>2</v>
      </c>
      <c r="F1202" s="11">
        <f>DAY(Tabela5[[#This Row],[Data]])</f>
        <v>13</v>
      </c>
      <c r="G120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203" spans="1:7">
      <c r="A1203" s="11" t="s">
        <v>4</v>
      </c>
      <c r="B1203" s="12">
        <v>44300</v>
      </c>
      <c r="C1203" s="1" t="s">
        <v>44</v>
      </c>
      <c r="D1203" s="1" t="s">
        <v>46</v>
      </c>
      <c r="E1203" s="13">
        <v>2</v>
      </c>
      <c r="F1203" s="11">
        <f>DAY(Tabela5[[#This Row],[Data]])</f>
        <v>14</v>
      </c>
      <c r="G120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204" spans="1:7">
      <c r="A1204" s="11" t="s">
        <v>4</v>
      </c>
      <c r="B1204" s="12">
        <v>44301</v>
      </c>
      <c r="C1204" s="1" t="s">
        <v>44</v>
      </c>
      <c r="D1204" s="1" t="s">
        <v>46</v>
      </c>
      <c r="E1204" s="13">
        <v>1</v>
      </c>
      <c r="F1204" s="11">
        <f>DAY(Tabela5[[#This Row],[Data]])</f>
        <v>15</v>
      </c>
      <c r="G120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205" spans="1:7">
      <c r="A1205" s="11" t="s">
        <v>4</v>
      </c>
      <c r="B1205" s="12">
        <v>44301</v>
      </c>
      <c r="C1205" s="1" t="s">
        <v>44</v>
      </c>
      <c r="D1205" s="1" t="s">
        <v>46</v>
      </c>
      <c r="E1205" s="13">
        <v>2</v>
      </c>
      <c r="F1205" s="11">
        <f>DAY(Tabela5[[#This Row],[Data]])</f>
        <v>15</v>
      </c>
      <c r="G120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206" spans="1:7">
      <c r="A1206" s="11" t="s">
        <v>4</v>
      </c>
      <c r="B1206" s="12">
        <v>44302</v>
      </c>
      <c r="C1206" s="1" t="s">
        <v>44</v>
      </c>
      <c r="D1206" s="1" t="s">
        <v>46</v>
      </c>
      <c r="E1206" s="13">
        <v>1</v>
      </c>
      <c r="F1206" s="11">
        <f>DAY(Tabela5[[#This Row],[Data]])</f>
        <v>16</v>
      </c>
      <c r="G120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207" spans="1:7">
      <c r="A1207" s="11" t="s">
        <v>4</v>
      </c>
      <c r="B1207" s="12">
        <v>44305</v>
      </c>
      <c r="C1207" s="1" t="s">
        <v>44</v>
      </c>
      <c r="D1207" s="1" t="s">
        <v>46</v>
      </c>
      <c r="E1207" s="13">
        <v>2</v>
      </c>
      <c r="F1207" s="11">
        <f>DAY(Tabela5[[#This Row],[Data]])</f>
        <v>19</v>
      </c>
      <c r="G120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208" spans="1:7">
      <c r="A1208" s="11" t="s">
        <v>4</v>
      </c>
      <c r="B1208" s="12">
        <v>44306</v>
      </c>
      <c r="C1208" s="1" t="s">
        <v>44</v>
      </c>
      <c r="D1208" s="1" t="s">
        <v>46</v>
      </c>
      <c r="E1208" s="13">
        <v>1</v>
      </c>
      <c r="F1208" s="11">
        <f>DAY(Tabela5[[#This Row],[Data]])</f>
        <v>20</v>
      </c>
      <c r="G120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209" spans="1:7">
      <c r="A1209" s="11" t="s">
        <v>4</v>
      </c>
      <c r="B1209" s="12">
        <v>44307</v>
      </c>
      <c r="C1209" s="1" t="s">
        <v>44</v>
      </c>
      <c r="D1209" s="1" t="s">
        <v>46</v>
      </c>
      <c r="E1209" s="13">
        <v>1</v>
      </c>
      <c r="F1209" s="11">
        <f>DAY(Tabela5[[#This Row],[Data]])</f>
        <v>21</v>
      </c>
      <c r="G120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210" spans="1:7">
      <c r="A1210" s="11" t="s">
        <v>4</v>
      </c>
      <c r="B1210" s="12">
        <v>44307</v>
      </c>
      <c r="C1210" s="1" t="s">
        <v>44</v>
      </c>
      <c r="D1210" s="1" t="s">
        <v>46</v>
      </c>
      <c r="E1210" s="13">
        <v>2</v>
      </c>
      <c r="F1210" s="11">
        <f>DAY(Tabela5[[#This Row],[Data]])</f>
        <v>21</v>
      </c>
      <c r="G121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211" spans="1:7">
      <c r="A1211" s="11" t="s">
        <v>4</v>
      </c>
      <c r="B1211" s="12">
        <v>44308</v>
      </c>
      <c r="C1211" s="1" t="s">
        <v>44</v>
      </c>
      <c r="D1211" s="1" t="s">
        <v>46</v>
      </c>
      <c r="E1211" s="13">
        <v>2</v>
      </c>
      <c r="F1211" s="11">
        <f>DAY(Tabela5[[#This Row],[Data]])</f>
        <v>22</v>
      </c>
      <c r="G121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212" spans="1:7">
      <c r="A1212" s="11" t="s">
        <v>4</v>
      </c>
      <c r="B1212" s="12">
        <v>44309</v>
      </c>
      <c r="C1212" s="1" t="s">
        <v>44</v>
      </c>
      <c r="D1212" s="1" t="s">
        <v>46</v>
      </c>
      <c r="E1212" s="13">
        <v>2</v>
      </c>
      <c r="F1212" s="11">
        <f>DAY(Tabela5[[#This Row],[Data]])</f>
        <v>23</v>
      </c>
      <c r="G121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213" spans="1:7">
      <c r="A1213" s="11" t="s">
        <v>4</v>
      </c>
      <c r="B1213" s="12">
        <v>44312</v>
      </c>
      <c r="C1213" s="1" t="s">
        <v>44</v>
      </c>
      <c r="D1213" s="1" t="s">
        <v>46</v>
      </c>
      <c r="E1213" s="13">
        <v>2</v>
      </c>
      <c r="F1213" s="11">
        <f>DAY(Tabela5[[#This Row],[Data]])</f>
        <v>26</v>
      </c>
      <c r="G1213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214" spans="1:7">
      <c r="A1214" s="11" t="s">
        <v>4</v>
      </c>
      <c r="B1214" s="12">
        <v>44312</v>
      </c>
      <c r="C1214" s="1" t="s">
        <v>44</v>
      </c>
      <c r="D1214" s="1" t="s">
        <v>46</v>
      </c>
      <c r="E1214" s="13">
        <v>1</v>
      </c>
      <c r="F1214" s="11">
        <f>DAY(Tabela5[[#This Row],[Data]])</f>
        <v>26</v>
      </c>
      <c r="G1214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Segunda-Feira</v>
      </c>
    </row>
    <row r="1215" spans="1:7">
      <c r="A1215" s="11" t="s">
        <v>4</v>
      </c>
      <c r="B1215" s="12">
        <v>44313</v>
      </c>
      <c r="C1215" s="1" t="s">
        <v>44</v>
      </c>
      <c r="D1215" s="1" t="s">
        <v>46</v>
      </c>
      <c r="E1215" s="13">
        <v>2</v>
      </c>
      <c r="F1215" s="11">
        <f>DAY(Tabela5[[#This Row],[Data]])</f>
        <v>27</v>
      </c>
      <c r="G1215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Terça-Feira</v>
      </c>
    </row>
    <row r="1216" spans="1:7">
      <c r="A1216" s="11" t="s">
        <v>4</v>
      </c>
      <c r="B1216" s="12">
        <v>44314</v>
      </c>
      <c r="C1216" s="1" t="s">
        <v>44</v>
      </c>
      <c r="D1216" s="1" t="s">
        <v>46</v>
      </c>
      <c r="E1216" s="13">
        <v>2</v>
      </c>
      <c r="F1216" s="11">
        <f>DAY(Tabela5[[#This Row],[Data]])</f>
        <v>28</v>
      </c>
      <c r="G1216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217" spans="1:7">
      <c r="A1217" s="11" t="s">
        <v>4</v>
      </c>
      <c r="B1217" s="12">
        <v>44314</v>
      </c>
      <c r="C1217" s="1" t="s">
        <v>44</v>
      </c>
      <c r="D1217" s="1" t="s">
        <v>46</v>
      </c>
      <c r="E1217" s="13">
        <v>2</v>
      </c>
      <c r="F1217" s="11">
        <f>DAY(Tabela5[[#This Row],[Data]])</f>
        <v>28</v>
      </c>
      <c r="G1217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218" spans="1:7">
      <c r="A1218" s="11" t="s">
        <v>4</v>
      </c>
      <c r="B1218" s="12">
        <v>44314</v>
      </c>
      <c r="C1218" s="1" t="s">
        <v>44</v>
      </c>
      <c r="D1218" s="1" t="s">
        <v>46</v>
      </c>
      <c r="E1218" s="13">
        <v>2</v>
      </c>
      <c r="F1218" s="11">
        <f>DAY(Tabela5[[#This Row],[Data]])</f>
        <v>28</v>
      </c>
      <c r="G1218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Quarta-Feira</v>
      </c>
    </row>
    <row r="1219" spans="1:7">
      <c r="A1219" s="11" t="s">
        <v>4</v>
      </c>
      <c r="B1219" s="12">
        <v>44315</v>
      </c>
      <c r="C1219" s="1" t="s">
        <v>44</v>
      </c>
      <c r="D1219" s="1" t="s">
        <v>46</v>
      </c>
      <c r="E1219" s="13">
        <v>2</v>
      </c>
      <c r="F1219" s="11">
        <f>DAY(Tabela5[[#This Row],[Data]])</f>
        <v>29</v>
      </c>
      <c r="G1219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Quinta-Feira</v>
      </c>
    </row>
    <row r="1220" spans="1:7">
      <c r="A1220" s="11" t="s">
        <v>4</v>
      </c>
      <c r="B1220" s="12">
        <v>44316</v>
      </c>
      <c r="C1220" s="1" t="s">
        <v>44</v>
      </c>
      <c r="D1220" s="1" t="s">
        <v>46</v>
      </c>
      <c r="E1220" s="13">
        <v>1</v>
      </c>
      <c r="F1220" s="11">
        <f>DAY(Tabela5[[#This Row],[Data]])</f>
        <v>30</v>
      </c>
      <c r="G1220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221" spans="1:7">
      <c r="A1221" s="11" t="s">
        <v>4</v>
      </c>
      <c r="B1221" s="12">
        <v>44316</v>
      </c>
      <c r="C1221" s="1" t="s">
        <v>44</v>
      </c>
      <c r="D1221" s="1" t="s">
        <v>46</v>
      </c>
      <c r="E1221" s="13">
        <v>2</v>
      </c>
      <c r="F1221" s="11">
        <f>DAY(Tabela5[[#This Row],[Data]])</f>
        <v>30</v>
      </c>
      <c r="G1221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  <row r="1222" spans="1:7">
      <c r="A1222" s="11" t="s">
        <v>4</v>
      </c>
      <c r="B1222" s="12">
        <v>44316</v>
      </c>
      <c r="C1222" s="1" t="s">
        <v>44</v>
      </c>
      <c r="D1222" s="1" t="s">
        <v>46</v>
      </c>
      <c r="E1222" s="13">
        <v>1</v>
      </c>
      <c r="F1222" s="11">
        <f>DAY(Tabela5[[#This Row],[Data]])</f>
        <v>30</v>
      </c>
      <c r="G1222" s="11" t="str">
        <f>IF(WEEKDAY(Tabela5[[#This Row],[Data]],2)=1,"Segunda-Feira",IF(WEEKDAY(Tabela5[[#This Row],[Data]],2)=2,"Terça-Feira",IF(WEEKDAY(Tabela5[[#This Row],[Data]],2)=3,"Quarta-Feira",IF(WEEKDAY(Tabela5[[#This Row],[Data]],2)=4,"Quinta-Feira",IF(WEEKDAY(Tabela5[[#This Row],[Data]],2)=5,"Sexta-Feira","Fim de Semana")))))</f>
        <v>Sexta-Feira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F0416-84E2-4BCC-ADDD-49EAC5933DAC}">
  <sheetPr codeName="Planilha3">
    <tabColor theme="0" tint="-0.499984740745262"/>
  </sheetPr>
  <dimension ref="B1:J40"/>
  <sheetViews>
    <sheetView showGridLines="0" workbookViewId="0">
      <selection activeCell="I3" sqref="I3:J40"/>
    </sheetView>
  </sheetViews>
  <sheetFormatPr defaultRowHeight="14.4"/>
  <cols>
    <col min="1" max="1" width="3" customWidth="1"/>
    <col min="2" max="4" width="14" customWidth="1"/>
    <col min="5" max="5" width="5.44140625" customWidth="1"/>
    <col min="6" max="6" width="12.5546875" bestFit="1" customWidth="1"/>
    <col min="7" max="7" width="10.33203125" customWidth="1"/>
    <col min="9" max="9" width="12.5546875" bestFit="1" customWidth="1"/>
  </cols>
  <sheetData>
    <row r="1" spans="2:10">
      <c r="B1" s="22" t="s">
        <v>49</v>
      </c>
      <c r="C1" s="24"/>
      <c r="D1" s="24"/>
      <c r="F1" s="22" t="s">
        <v>52</v>
      </c>
      <c r="I1" s="22" t="s">
        <v>53</v>
      </c>
      <c r="J1" t="str">
        <f>Painel!M22</f>
        <v>DCMD</v>
      </c>
    </row>
    <row r="2" spans="2:10">
      <c r="B2" s="20" t="s">
        <v>45</v>
      </c>
      <c r="C2" s="20" t="s">
        <v>47</v>
      </c>
      <c r="D2" s="20" t="s">
        <v>46</v>
      </c>
      <c r="F2" s="20" t="s">
        <v>0</v>
      </c>
      <c r="G2" s="20" t="s">
        <v>50</v>
      </c>
      <c r="I2" t="s">
        <v>0</v>
      </c>
      <c r="J2" t="s">
        <v>50</v>
      </c>
    </row>
    <row r="3" spans="2:10">
      <c r="B3" t="s">
        <v>5</v>
      </c>
      <c r="C3">
        <f>COUNTIFS('Base de Dados'!$A:$A,'Aba auxiliar'!$B$3,'Base de Dados'!$D:$D,'Aba auxiliar'!C2)</f>
        <v>154</v>
      </c>
      <c r="D3">
        <f>COUNTIFS('Base de Dados'!$A:$A,'Aba auxiliar'!B3,'Base de Dados'!$D:$D,'Aba auxiliar'!$D$2)</f>
        <v>147</v>
      </c>
      <c r="F3" t="s">
        <v>9</v>
      </c>
      <c r="G3">
        <f>IF($J$1=0,SUMIF('Base de Dados'!C:C,'Aba auxiliar'!F3,'Base de Dados'!E:E),IF($J$1=$B$3,SUMIFS('Base de Dados'!E:E,'Base de Dados'!A:A,'Aba auxiliar'!$J$1,'Base de Dados'!C:C,'Aba auxiliar'!F3),IF($J$1=$B$4,SUMIFS('Base de Dados'!E:E,'Base de Dados'!A:A,'Aba auxiliar'!$J$1,'Base de Dados'!C:C,'Aba auxiliar'!F3),IF($J$1=$B$5,SUMIFS('Base de Dados'!E:E,'Base de Dados'!A:A,'Aba auxiliar'!$J$1,'Base de Dados'!C:C,'Aba auxiliar'!F3)))))</f>
        <v>0</v>
      </c>
      <c r="I3" t="s">
        <v>16</v>
      </c>
      <c r="J3">
        <f t="shared" ref="J3:J40" si="0">VLOOKUP(I3,F:G,2,0)</f>
        <v>81</v>
      </c>
    </row>
    <row r="4" spans="2:10">
      <c r="B4" t="s">
        <v>6</v>
      </c>
      <c r="C4">
        <f>COUNTIFS('Base de Dados'!A:A,'Aba auxiliar'!B4,'Base de Dados'!D:D,'Aba auxiliar'!$C$2)</f>
        <v>423</v>
      </c>
      <c r="D4">
        <f>COUNTIFS('Base de Dados'!$A:$A,'Aba auxiliar'!B4,'Base de Dados'!$D:$D,'Aba auxiliar'!$D$2)</f>
        <v>133</v>
      </c>
      <c r="F4" t="s">
        <v>16</v>
      </c>
      <c r="G4">
        <f>IF($J$1=0,SUMIF('Base de Dados'!C:C,'Aba auxiliar'!F4,'Base de Dados'!E:E),IF($J$1=$B$3,SUMIFS('Base de Dados'!E:E,'Base de Dados'!A:A,'Aba auxiliar'!$J$1,'Base de Dados'!C:C,'Aba auxiliar'!F4),IF($J$1=$B$4,SUMIFS('Base de Dados'!E:E,'Base de Dados'!A:A,'Aba auxiliar'!$J$1,'Base de Dados'!C:C,'Aba auxiliar'!F4),IF($J$1=$B$5,SUMIFS('Base de Dados'!E:E,'Base de Dados'!A:A,'Aba auxiliar'!$J$1,'Base de Dados'!C:C,'Aba auxiliar'!F4)))))</f>
        <v>81</v>
      </c>
      <c r="I4" t="s">
        <v>14</v>
      </c>
      <c r="J4">
        <f t="shared" si="0"/>
        <v>77</v>
      </c>
    </row>
    <row r="5" spans="2:10">
      <c r="B5" t="s">
        <v>4</v>
      </c>
      <c r="C5">
        <f>COUNTIFS('Base de Dados'!A:A,'Aba auxiliar'!B5,'Base de Dados'!D:D,'Aba auxiliar'!$C$2)</f>
        <v>0</v>
      </c>
      <c r="D5">
        <f>COUNTIFS('Base de Dados'!$A:$A,'Aba auxiliar'!B5,'Base de Dados'!$D:$D,'Aba auxiliar'!$D$2)</f>
        <v>364</v>
      </c>
      <c r="F5" t="s">
        <v>36</v>
      </c>
      <c r="G5">
        <f>IF($J$1=0,SUMIF('Base de Dados'!C:C,'Aba auxiliar'!F5,'Base de Dados'!E:E),IF($J$1=$B$3,SUMIFS('Base de Dados'!E:E,'Base de Dados'!A:A,'Aba auxiliar'!$J$1,'Base de Dados'!C:C,'Aba auxiliar'!F5),IF($J$1=$B$4,SUMIFS('Base de Dados'!E:E,'Base de Dados'!A:A,'Aba auxiliar'!$J$1,'Base de Dados'!C:C,'Aba auxiliar'!F5),IF($J$1=$B$5,SUMIFS('Base de Dados'!E:E,'Base de Dados'!A:A,'Aba auxiliar'!$J$1,'Base de Dados'!C:C,'Aba auxiliar'!F5)))))</f>
        <v>0</v>
      </c>
      <c r="I5" t="s">
        <v>8</v>
      </c>
      <c r="J5">
        <f t="shared" si="0"/>
        <v>77</v>
      </c>
    </row>
    <row r="6" spans="2:10">
      <c r="F6" t="s">
        <v>14</v>
      </c>
      <c r="G6">
        <f>IF($J$1=0,SUMIF('Base de Dados'!C:C,'Aba auxiliar'!F6,'Base de Dados'!E:E),IF($J$1=$B$3,SUMIFS('Base de Dados'!E:E,'Base de Dados'!A:A,'Aba auxiliar'!$J$1,'Base de Dados'!C:C,'Aba auxiliar'!F6),IF($J$1=$B$4,SUMIFS('Base de Dados'!E:E,'Base de Dados'!A:A,'Aba auxiliar'!$J$1,'Base de Dados'!C:C,'Aba auxiliar'!F6),IF($J$1=$B$5,SUMIFS('Base de Dados'!E:E,'Base de Dados'!A:A,'Aba auxiliar'!$J$1,'Base de Dados'!C:C,'Aba auxiliar'!F6)))))</f>
        <v>77</v>
      </c>
      <c r="I6" t="s">
        <v>22</v>
      </c>
      <c r="J6">
        <f t="shared" si="0"/>
        <v>62</v>
      </c>
    </row>
    <row r="7" spans="2:10">
      <c r="F7" t="s">
        <v>8</v>
      </c>
      <c r="G7">
        <f>IF($J$1=0,SUMIF('Base de Dados'!C:C,'Aba auxiliar'!F7,'Base de Dados'!E:E),IF($J$1=$B$3,SUMIFS('Base de Dados'!E:E,'Base de Dados'!A:A,'Aba auxiliar'!$J$1,'Base de Dados'!C:C,'Aba auxiliar'!F7),IF($J$1=$B$4,SUMIFS('Base de Dados'!E:E,'Base de Dados'!A:A,'Aba auxiliar'!$J$1,'Base de Dados'!C:C,'Aba auxiliar'!F7),IF($J$1=$B$5,SUMIFS('Base de Dados'!E:E,'Base de Dados'!A:A,'Aba auxiliar'!$J$1,'Base de Dados'!C:C,'Aba auxiliar'!F7)))))</f>
        <v>77</v>
      </c>
      <c r="I7" t="s">
        <v>34</v>
      </c>
      <c r="J7">
        <f t="shared" si="0"/>
        <v>56</v>
      </c>
    </row>
    <row r="8" spans="2:10">
      <c r="F8" t="s">
        <v>27</v>
      </c>
      <c r="G8">
        <f>IF($J$1=0,SUMIF('Base de Dados'!C:C,'Aba auxiliar'!F8,'Base de Dados'!E:E),IF($J$1=$B$3,SUMIFS('Base de Dados'!E:E,'Base de Dados'!A:A,'Aba auxiliar'!$J$1,'Base de Dados'!C:C,'Aba auxiliar'!F8),IF($J$1=$B$4,SUMIFS('Base de Dados'!E:E,'Base de Dados'!A:A,'Aba auxiliar'!$J$1,'Base de Dados'!C:C,'Aba auxiliar'!F8),IF($J$1=$B$5,SUMIFS('Base de Dados'!E:E,'Base de Dados'!A:A,'Aba auxiliar'!$J$1,'Base de Dados'!C:C,'Aba auxiliar'!F8)))))</f>
        <v>0</v>
      </c>
      <c r="I8" t="s">
        <v>7</v>
      </c>
      <c r="J8">
        <f t="shared" si="0"/>
        <v>48</v>
      </c>
    </row>
    <row r="9" spans="2:10">
      <c r="F9" t="s">
        <v>24</v>
      </c>
      <c r="G9">
        <f>IF($J$1=0,SUMIF('Base de Dados'!C:C,'Aba auxiliar'!F9,'Base de Dados'!E:E),IF($J$1=$B$3,SUMIFS('Base de Dados'!E:E,'Base de Dados'!A:A,'Aba auxiliar'!$J$1,'Base de Dados'!C:C,'Aba auxiliar'!F9),IF($J$1=$B$4,SUMIFS('Base de Dados'!E:E,'Base de Dados'!A:A,'Aba auxiliar'!$J$1,'Base de Dados'!C:C,'Aba auxiliar'!F9),IF($J$1=$B$5,SUMIFS('Base de Dados'!E:E,'Base de Dados'!A:A,'Aba auxiliar'!$J$1,'Base de Dados'!C:C,'Aba auxiliar'!F9)))))</f>
        <v>0</v>
      </c>
      <c r="I9" t="s">
        <v>21</v>
      </c>
      <c r="J9">
        <f t="shared" si="0"/>
        <v>30</v>
      </c>
    </row>
    <row r="10" spans="2:10">
      <c r="F10" t="s">
        <v>32</v>
      </c>
      <c r="G10">
        <f>IF($J$1=0,SUMIF('Base de Dados'!C:C,'Aba auxiliar'!F10,'Base de Dados'!E:E),IF($J$1=$B$3,SUMIFS('Base de Dados'!E:E,'Base de Dados'!A:A,'Aba auxiliar'!$J$1,'Base de Dados'!C:C,'Aba auxiliar'!F10),IF($J$1=$B$4,SUMIFS('Base de Dados'!E:E,'Base de Dados'!A:A,'Aba auxiliar'!$J$1,'Base de Dados'!C:C,'Aba auxiliar'!F10),IF($J$1=$B$5,SUMIFS('Base de Dados'!E:E,'Base de Dados'!A:A,'Aba auxiliar'!$J$1,'Base de Dados'!C:C,'Aba auxiliar'!F10)))))</f>
        <v>0</v>
      </c>
      <c r="I10" t="s">
        <v>10</v>
      </c>
      <c r="J10">
        <f t="shared" si="0"/>
        <v>27</v>
      </c>
    </row>
    <row r="11" spans="2:10">
      <c r="F11" t="s">
        <v>39</v>
      </c>
      <c r="G11">
        <f>IF($J$1=0,SUMIF('Base de Dados'!C:C,'Aba auxiliar'!F11,'Base de Dados'!E:E),IF($J$1=$B$3,SUMIFS('Base de Dados'!E:E,'Base de Dados'!A:A,'Aba auxiliar'!$J$1,'Base de Dados'!C:C,'Aba auxiliar'!F11),IF($J$1=$B$4,SUMIFS('Base de Dados'!E:E,'Base de Dados'!A:A,'Aba auxiliar'!$J$1,'Base de Dados'!C:C,'Aba auxiliar'!F11),IF($J$1=$B$5,SUMIFS('Base de Dados'!E:E,'Base de Dados'!A:A,'Aba auxiliar'!$J$1,'Base de Dados'!C:C,'Aba auxiliar'!F11)))))</f>
        <v>0</v>
      </c>
      <c r="I11" t="s">
        <v>35</v>
      </c>
      <c r="J11">
        <f t="shared" si="0"/>
        <v>6</v>
      </c>
    </row>
    <row r="12" spans="2:10">
      <c r="F12" t="s">
        <v>20</v>
      </c>
      <c r="G12">
        <f>IF($J$1=0,SUMIF('Base de Dados'!C:C,'Aba auxiliar'!F12,'Base de Dados'!E:E),IF($J$1=$B$3,SUMIFS('Base de Dados'!E:E,'Base de Dados'!A:A,'Aba auxiliar'!$J$1,'Base de Dados'!C:C,'Aba auxiliar'!F12),IF($J$1=$B$4,SUMIFS('Base de Dados'!E:E,'Base de Dados'!A:A,'Aba auxiliar'!$J$1,'Base de Dados'!C:C,'Aba auxiliar'!F12),IF($J$1=$B$5,SUMIFS('Base de Dados'!E:E,'Base de Dados'!A:A,'Aba auxiliar'!$J$1,'Base de Dados'!C:C,'Aba auxiliar'!F12)))))</f>
        <v>0</v>
      </c>
      <c r="I12" t="s">
        <v>9</v>
      </c>
      <c r="J12">
        <f t="shared" si="0"/>
        <v>0</v>
      </c>
    </row>
    <row r="13" spans="2:10">
      <c r="F13" t="s">
        <v>33</v>
      </c>
      <c r="G13">
        <f>IF($J$1=0,SUMIF('Base de Dados'!C:C,'Aba auxiliar'!F13,'Base de Dados'!E:E),IF($J$1=$B$3,SUMIFS('Base de Dados'!E:E,'Base de Dados'!A:A,'Aba auxiliar'!$J$1,'Base de Dados'!C:C,'Aba auxiliar'!F13),IF($J$1=$B$4,SUMIFS('Base de Dados'!E:E,'Base de Dados'!A:A,'Aba auxiliar'!$J$1,'Base de Dados'!C:C,'Aba auxiliar'!F13),IF($J$1=$B$5,SUMIFS('Base de Dados'!E:E,'Base de Dados'!A:A,'Aba auxiliar'!$J$1,'Base de Dados'!C:C,'Aba auxiliar'!F13)))))</f>
        <v>0</v>
      </c>
      <c r="I13" t="s">
        <v>36</v>
      </c>
      <c r="J13">
        <f t="shared" si="0"/>
        <v>0</v>
      </c>
    </row>
    <row r="14" spans="2:10">
      <c r="F14" t="s">
        <v>22</v>
      </c>
      <c r="G14">
        <f>IF($J$1=0,SUMIF('Base de Dados'!C:C,'Aba auxiliar'!F14,'Base de Dados'!E:E),IF($J$1=$B$3,SUMIFS('Base de Dados'!E:E,'Base de Dados'!A:A,'Aba auxiliar'!$J$1,'Base de Dados'!C:C,'Aba auxiliar'!F14),IF($J$1=$B$4,SUMIFS('Base de Dados'!E:E,'Base de Dados'!A:A,'Aba auxiliar'!$J$1,'Base de Dados'!C:C,'Aba auxiliar'!F14),IF($J$1=$B$5,SUMIFS('Base de Dados'!E:E,'Base de Dados'!A:A,'Aba auxiliar'!$J$1,'Base de Dados'!C:C,'Aba auxiliar'!F14)))))</f>
        <v>62</v>
      </c>
      <c r="I14" t="s">
        <v>27</v>
      </c>
      <c r="J14">
        <f t="shared" si="0"/>
        <v>0</v>
      </c>
    </row>
    <row r="15" spans="2:10">
      <c r="F15" t="s">
        <v>28</v>
      </c>
      <c r="G15">
        <f>IF($J$1=0,SUMIF('Base de Dados'!C:C,'Aba auxiliar'!F15,'Base de Dados'!E:E),IF($J$1=$B$3,SUMIFS('Base de Dados'!E:E,'Base de Dados'!A:A,'Aba auxiliar'!$J$1,'Base de Dados'!C:C,'Aba auxiliar'!F15),IF($J$1=$B$4,SUMIFS('Base de Dados'!E:E,'Base de Dados'!A:A,'Aba auxiliar'!$J$1,'Base de Dados'!C:C,'Aba auxiliar'!F15),IF($J$1=$B$5,SUMIFS('Base de Dados'!E:E,'Base de Dados'!A:A,'Aba auxiliar'!$J$1,'Base de Dados'!C:C,'Aba auxiliar'!F15)))))</f>
        <v>0</v>
      </c>
      <c r="I15" t="s">
        <v>24</v>
      </c>
      <c r="J15">
        <f t="shared" si="0"/>
        <v>0</v>
      </c>
    </row>
    <row r="16" spans="2:10">
      <c r="F16" t="s">
        <v>43</v>
      </c>
      <c r="G16">
        <f>IF($J$1=0,SUMIF('Base de Dados'!C:C,'Aba auxiliar'!F16,'Base de Dados'!E:E),IF($J$1=$B$3,SUMIFS('Base de Dados'!E:E,'Base de Dados'!A:A,'Aba auxiliar'!$J$1,'Base de Dados'!C:C,'Aba auxiliar'!F16),IF($J$1=$B$4,SUMIFS('Base de Dados'!E:E,'Base de Dados'!A:A,'Aba auxiliar'!$J$1,'Base de Dados'!C:C,'Aba auxiliar'!F16),IF($J$1=$B$5,SUMIFS('Base de Dados'!E:E,'Base de Dados'!A:A,'Aba auxiliar'!$J$1,'Base de Dados'!C:C,'Aba auxiliar'!F16)))))</f>
        <v>0</v>
      </c>
      <c r="I16" t="s">
        <v>39</v>
      </c>
      <c r="J16">
        <f t="shared" si="0"/>
        <v>0</v>
      </c>
    </row>
    <row r="17" spans="6:10">
      <c r="F17" t="s">
        <v>34</v>
      </c>
      <c r="G17">
        <f>IF($J$1=0,SUMIF('Base de Dados'!C:C,'Aba auxiliar'!F17,'Base de Dados'!E:E),IF($J$1=$B$3,SUMIFS('Base de Dados'!E:E,'Base de Dados'!A:A,'Aba auxiliar'!$J$1,'Base de Dados'!C:C,'Aba auxiliar'!F17),IF($J$1=$B$4,SUMIFS('Base de Dados'!E:E,'Base de Dados'!A:A,'Aba auxiliar'!$J$1,'Base de Dados'!C:C,'Aba auxiliar'!F17),IF($J$1=$B$5,SUMIFS('Base de Dados'!E:E,'Base de Dados'!A:A,'Aba auxiliar'!$J$1,'Base de Dados'!C:C,'Aba auxiliar'!F17)))))</f>
        <v>56</v>
      </c>
      <c r="I17" t="s">
        <v>33</v>
      </c>
      <c r="J17">
        <f t="shared" si="0"/>
        <v>0</v>
      </c>
    </row>
    <row r="18" spans="6:10">
      <c r="F18" t="s">
        <v>31</v>
      </c>
      <c r="G18">
        <f>IF($J$1=0,SUMIF('Base de Dados'!C:C,'Aba auxiliar'!F18,'Base de Dados'!E:E),IF($J$1=$B$3,SUMIFS('Base de Dados'!E:E,'Base de Dados'!A:A,'Aba auxiliar'!$J$1,'Base de Dados'!C:C,'Aba auxiliar'!F18),IF($J$1=$B$4,SUMIFS('Base de Dados'!E:E,'Base de Dados'!A:A,'Aba auxiliar'!$J$1,'Base de Dados'!C:C,'Aba auxiliar'!F18),IF($J$1=$B$5,SUMIFS('Base de Dados'!E:E,'Base de Dados'!A:A,'Aba auxiliar'!$J$1,'Base de Dados'!C:C,'Aba auxiliar'!F18)))))</f>
        <v>0</v>
      </c>
      <c r="I18" t="s">
        <v>28</v>
      </c>
      <c r="J18">
        <f t="shared" si="0"/>
        <v>0</v>
      </c>
    </row>
    <row r="19" spans="6:10">
      <c r="F19" t="s">
        <v>44</v>
      </c>
      <c r="G19">
        <f>IF($J$1=0,SUMIF('Base de Dados'!C:C,'Aba auxiliar'!F19,'Base de Dados'!E:E),IF($J$1=$B$3,SUMIFS('Base de Dados'!E:E,'Base de Dados'!A:A,'Aba auxiliar'!$J$1,'Base de Dados'!C:C,'Aba auxiliar'!F19),IF($J$1=$B$4,SUMIFS('Base de Dados'!E:E,'Base de Dados'!A:A,'Aba auxiliar'!$J$1,'Base de Dados'!C:C,'Aba auxiliar'!F19),IF($J$1=$B$5,SUMIFS('Base de Dados'!E:E,'Base de Dados'!A:A,'Aba auxiliar'!$J$1,'Base de Dados'!C:C,'Aba auxiliar'!F19)))))</f>
        <v>0</v>
      </c>
      <c r="I19" t="s">
        <v>29</v>
      </c>
      <c r="J19">
        <f t="shared" si="0"/>
        <v>0</v>
      </c>
    </row>
    <row r="20" spans="6:10">
      <c r="F20" t="s">
        <v>7</v>
      </c>
      <c r="G20">
        <f>IF($J$1=0,SUMIF('Base de Dados'!C:C,'Aba auxiliar'!F20,'Base de Dados'!E:E),IF($J$1=$B$3,SUMIFS('Base de Dados'!E:E,'Base de Dados'!A:A,'Aba auxiliar'!$J$1,'Base de Dados'!C:C,'Aba auxiliar'!F20),IF($J$1=$B$4,SUMIFS('Base de Dados'!E:E,'Base de Dados'!A:A,'Aba auxiliar'!$J$1,'Base de Dados'!C:C,'Aba auxiliar'!F20),IF($J$1=$B$5,SUMIFS('Base de Dados'!E:E,'Base de Dados'!A:A,'Aba auxiliar'!$J$1,'Base de Dados'!C:C,'Aba auxiliar'!F20)))))</f>
        <v>48</v>
      </c>
      <c r="I20" t="s">
        <v>40</v>
      </c>
      <c r="J20">
        <f t="shared" si="0"/>
        <v>0</v>
      </c>
    </row>
    <row r="21" spans="6:10">
      <c r="F21" t="s">
        <v>29</v>
      </c>
      <c r="G21">
        <f>IF($J$1=0,SUMIF('Base de Dados'!C:C,'Aba auxiliar'!F21,'Base de Dados'!E:E),IF($J$1=$B$3,SUMIFS('Base de Dados'!E:E,'Base de Dados'!A:A,'Aba auxiliar'!$J$1,'Base de Dados'!C:C,'Aba auxiliar'!F21),IF($J$1=$B$4,SUMIFS('Base de Dados'!E:E,'Base de Dados'!A:A,'Aba auxiliar'!$J$1,'Base de Dados'!C:C,'Aba auxiliar'!F21),IF($J$1=$B$5,SUMIFS('Base de Dados'!E:E,'Base de Dados'!A:A,'Aba auxiliar'!$J$1,'Base de Dados'!C:C,'Aba auxiliar'!F21)))))</f>
        <v>0</v>
      </c>
      <c r="I21" t="s">
        <v>38</v>
      </c>
      <c r="J21">
        <f t="shared" si="0"/>
        <v>0</v>
      </c>
    </row>
    <row r="22" spans="6:10">
      <c r="F22" t="s">
        <v>18</v>
      </c>
      <c r="G22">
        <f>IF($J$1=0,SUMIF('Base de Dados'!C:C,'Aba auxiliar'!F22,'Base de Dados'!E:E),IF($J$1=$B$3,SUMIFS('Base de Dados'!E:E,'Base de Dados'!A:A,'Aba auxiliar'!$J$1,'Base de Dados'!C:C,'Aba auxiliar'!F22),IF($J$1=$B$4,SUMIFS('Base de Dados'!E:E,'Base de Dados'!A:A,'Aba auxiliar'!$J$1,'Base de Dados'!C:C,'Aba auxiliar'!F22),IF($J$1=$B$5,SUMIFS('Base de Dados'!E:E,'Base de Dados'!A:A,'Aba auxiliar'!$J$1,'Base de Dados'!C:C,'Aba auxiliar'!F22)))))</f>
        <v>0</v>
      </c>
      <c r="I22" t="s">
        <v>25</v>
      </c>
      <c r="J22">
        <f t="shared" si="0"/>
        <v>0</v>
      </c>
    </row>
    <row r="23" spans="6:10">
      <c r="F23" t="s">
        <v>19</v>
      </c>
      <c r="G23">
        <f>IF($J$1=0,SUMIF('Base de Dados'!C:C,'Aba auxiliar'!F23,'Base de Dados'!E:E),IF($J$1=$B$3,SUMIFS('Base de Dados'!E:E,'Base de Dados'!A:A,'Aba auxiliar'!$J$1,'Base de Dados'!C:C,'Aba auxiliar'!F23),IF($J$1=$B$4,SUMIFS('Base de Dados'!E:E,'Base de Dados'!A:A,'Aba auxiliar'!$J$1,'Base de Dados'!C:C,'Aba auxiliar'!F23),IF($J$1=$B$5,SUMIFS('Base de Dados'!E:E,'Base de Dados'!A:A,'Aba auxiliar'!$J$1,'Base de Dados'!C:C,'Aba auxiliar'!F23)))))</f>
        <v>0</v>
      </c>
      <c r="I23" t="s">
        <v>37</v>
      </c>
      <c r="J23">
        <f t="shared" si="0"/>
        <v>0</v>
      </c>
    </row>
    <row r="24" spans="6:10">
      <c r="F24" t="s">
        <v>41</v>
      </c>
      <c r="G24">
        <f>IF($J$1=0,SUMIF('Base de Dados'!C:C,'Aba auxiliar'!F24,'Base de Dados'!E:E),IF($J$1=$B$3,SUMIFS('Base de Dados'!E:E,'Base de Dados'!A:A,'Aba auxiliar'!$J$1,'Base de Dados'!C:C,'Aba auxiliar'!F24),IF($J$1=$B$4,SUMIFS('Base de Dados'!E:E,'Base de Dados'!A:A,'Aba auxiliar'!$J$1,'Base de Dados'!C:C,'Aba auxiliar'!F24),IF($J$1=$B$5,SUMIFS('Base de Dados'!E:E,'Base de Dados'!A:A,'Aba auxiliar'!$J$1,'Base de Dados'!C:C,'Aba auxiliar'!F24)))))</f>
        <v>0</v>
      </c>
      <c r="I24" t="s">
        <v>12</v>
      </c>
      <c r="J24">
        <f t="shared" si="0"/>
        <v>0</v>
      </c>
    </row>
    <row r="25" spans="6:10">
      <c r="F25" t="s">
        <v>15</v>
      </c>
      <c r="G25">
        <f>IF($J$1=0,SUMIF('Base de Dados'!C:C,'Aba auxiliar'!F25,'Base de Dados'!E:E),IF($J$1=$B$3,SUMIFS('Base de Dados'!E:E,'Base de Dados'!A:A,'Aba auxiliar'!$J$1,'Base de Dados'!C:C,'Aba auxiliar'!F25),IF($J$1=$B$4,SUMIFS('Base de Dados'!E:E,'Base de Dados'!A:A,'Aba auxiliar'!$J$1,'Base de Dados'!C:C,'Aba auxiliar'!F25),IF($J$1=$B$5,SUMIFS('Base de Dados'!E:E,'Base de Dados'!A:A,'Aba auxiliar'!$J$1,'Base de Dados'!C:C,'Aba auxiliar'!F25)))))</f>
        <v>0</v>
      </c>
      <c r="I25" t="s">
        <v>13</v>
      </c>
      <c r="J25">
        <f t="shared" si="0"/>
        <v>0</v>
      </c>
    </row>
    <row r="26" spans="6:10">
      <c r="F26" t="s">
        <v>40</v>
      </c>
      <c r="G26">
        <f>IF($J$1=0,SUMIF('Base de Dados'!C:C,'Aba auxiliar'!F26,'Base de Dados'!E:E),IF($J$1=$B$3,SUMIFS('Base de Dados'!E:E,'Base de Dados'!A:A,'Aba auxiliar'!$J$1,'Base de Dados'!C:C,'Aba auxiliar'!F26),IF($J$1=$B$4,SUMIFS('Base de Dados'!E:E,'Base de Dados'!A:A,'Aba auxiliar'!$J$1,'Base de Dados'!C:C,'Aba auxiliar'!F26),IF($J$1=$B$5,SUMIFS('Base de Dados'!E:E,'Base de Dados'!A:A,'Aba auxiliar'!$J$1,'Base de Dados'!C:C,'Aba auxiliar'!F26)))))</f>
        <v>0</v>
      </c>
      <c r="I26" t="s">
        <v>11</v>
      </c>
      <c r="J26">
        <f t="shared" si="0"/>
        <v>0</v>
      </c>
    </row>
    <row r="27" spans="6:10">
      <c r="F27" t="s">
        <v>38</v>
      </c>
      <c r="G27">
        <f>IF($J$1=0,SUMIF('Base de Dados'!C:C,'Aba auxiliar'!F27,'Base de Dados'!E:E),IF($J$1=$B$3,SUMIFS('Base de Dados'!E:E,'Base de Dados'!A:A,'Aba auxiliar'!$J$1,'Base de Dados'!C:C,'Aba auxiliar'!F27),IF($J$1=$B$4,SUMIFS('Base de Dados'!E:E,'Base de Dados'!A:A,'Aba auxiliar'!$J$1,'Base de Dados'!C:C,'Aba auxiliar'!F27),IF($J$1=$B$5,SUMIFS('Base de Dados'!E:E,'Base de Dados'!A:A,'Aba auxiliar'!$J$1,'Base de Dados'!C:C,'Aba auxiliar'!F27)))))</f>
        <v>0</v>
      </c>
      <c r="I27" t="s">
        <v>26</v>
      </c>
      <c r="J27">
        <f t="shared" si="0"/>
        <v>0</v>
      </c>
    </row>
    <row r="28" spans="6:10">
      <c r="F28" t="s">
        <v>25</v>
      </c>
      <c r="G28">
        <f>IF($J$1=0,SUMIF('Base de Dados'!C:C,'Aba auxiliar'!F28,'Base de Dados'!E:E),IF($J$1=$B$3,SUMIFS('Base de Dados'!E:E,'Base de Dados'!A:A,'Aba auxiliar'!$J$1,'Base de Dados'!C:C,'Aba auxiliar'!F28),IF($J$1=$B$4,SUMIFS('Base de Dados'!E:E,'Base de Dados'!A:A,'Aba auxiliar'!$J$1,'Base de Dados'!C:C,'Aba auxiliar'!F28),IF($J$1=$B$5,SUMIFS('Base de Dados'!E:E,'Base de Dados'!A:A,'Aba auxiliar'!$J$1,'Base de Dados'!C:C,'Aba auxiliar'!F28)))))</f>
        <v>0</v>
      </c>
      <c r="I28" t="s">
        <v>23</v>
      </c>
      <c r="J28">
        <f t="shared" si="0"/>
        <v>0</v>
      </c>
    </row>
    <row r="29" spans="6:10">
      <c r="F29" t="s">
        <v>37</v>
      </c>
      <c r="G29">
        <f>IF($J$1=0,SUMIF('Base de Dados'!C:C,'Aba auxiliar'!F29,'Base de Dados'!E:E),IF($J$1=$B$3,SUMIFS('Base de Dados'!E:E,'Base de Dados'!A:A,'Aba auxiliar'!$J$1,'Base de Dados'!C:C,'Aba auxiliar'!F29),IF($J$1=$B$4,SUMIFS('Base de Dados'!E:E,'Base de Dados'!A:A,'Aba auxiliar'!$J$1,'Base de Dados'!C:C,'Aba auxiliar'!F29),IF($J$1=$B$5,SUMIFS('Base de Dados'!E:E,'Base de Dados'!A:A,'Aba auxiliar'!$J$1,'Base de Dados'!C:C,'Aba auxiliar'!F29)))))</f>
        <v>0</v>
      </c>
      <c r="I29" t="s">
        <v>32</v>
      </c>
      <c r="J29">
        <f t="shared" si="0"/>
        <v>0</v>
      </c>
    </row>
    <row r="30" spans="6:10">
      <c r="F30" t="s">
        <v>30</v>
      </c>
      <c r="G30">
        <f>IF($J$1=0,SUMIF('Base de Dados'!C:C,'Aba auxiliar'!F30,'Base de Dados'!E:E),IF($J$1=$B$3,SUMIFS('Base de Dados'!E:E,'Base de Dados'!A:A,'Aba auxiliar'!$J$1,'Base de Dados'!C:C,'Aba auxiliar'!F30),IF($J$1=$B$4,SUMIFS('Base de Dados'!E:E,'Base de Dados'!A:A,'Aba auxiliar'!$J$1,'Base de Dados'!C:C,'Aba auxiliar'!F30),IF($J$1=$B$5,SUMIFS('Base de Dados'!E:E,'Base de Dados'!A:A,'Aba auxiliar'!$J$1,'Base de Dados'!C:C,'Aba auxiliar'!F30)))))</f>
        <v>0</v>
      </c>
      <c r="I30" t="s">
        <v>20</v>
      </c>
      <c r="J30">
        <f t="shared" si="0"/>
        <v>0</v>
      </c>
    </row>
    <row r="31" spans="6:10">
      <c r="F31" t="s">
        <v>21</v>
      </c>
      <c r="G31">
        <f>IF($J$1=0,SUMIF('Base de Dados'!C:C,'Aba auxiliar'!F31,'Base de Dados'!E:E),IF($J$1=$B$3,SUMIFS('Base de Dados'!E:E,'Base de Dados'!A:A,'Aba auxiliar'!$J$1,'Base de Dados'!C:C,'Aba auxiliar'!F31),IF($J$1=$B$4,SUMIFS('Base de Dados'!E:E,'Base de Dados'!A:A,'Aba auxiliar'!$J$1,'Base de Dados'!C:C,'Aba auxiliar'!F31),IF($J$1=$B$5,SUMIFS('Base de Dados'!E:E,'Base de Dados'!A:A,'Aba auxiliar'!$J$1,'Base de Dados'!C:C,'Aba auxiliar'!F31)))))</f>
        <v>30</v>
      </c>
      <c r="I31" t="s">
        <v>43</v>
      </c>
      <c r="J31">
        <f t="shared" si="0"/>
        <v>0</v>
      </c>
    </row>
    <row r="32" spans="6:10">
      <c r="F32" t="s">
        <v>17</v>
      </c>
      <c r="G32">
        <f>IF($J$1=0,SUMIF('Base de Dados'!C:C,'Aba auxiliar'!F32,'Base de Dados'!E:E),IF($J$1=$B$3,SUMIFS('Base de Dados'!E:E,'Base de Dados'!A:A,'Aba auxiliar'!$J$1,'Base de Dados'!C:C,'Aba auxiliar'!F32),IF($J$1=$B$4,SUMIFS('Base de Dados'!E:E,'Base de Dados'!A:A,'Aba auxiliar'!$J$1,'Base de Dados'!C:C,'Aba auxiliar'!F32),IF($J$1=$B$5,SUMIFS('Base de Dados'!E:E,'Base de Dados'!A:A,'Aba auxiliar'!$J$1,'Base de Dados'!C:C,'Aba auxiliar'!F32)))))</f>
        <v>0</v>
      </c>
      <c r="I32" t="s">
        <v>31</v>
      </c>
      <c r="J32">
        <f t="shared" si="0"/>
        <v>0</v>
      </c>
    </row>
    <row r="33" spans="6:10">
      <c r="F33" t="s">
        <v>12</v>
      </c>
      <c r="G33">
        <f>IF($J$1=0,SUMIF('Base de Dados'!C:C,'Aba auxiliar'!F33,'Base de Dados'!E:E),IF($J$1=$B$3,SUMIFS('Base de Dados'!E:E,'Base de Dados'!A:A,'Aba auxiliar'!$J$1,'Base de Dados'!C:C,'Aba auxiliar'!F33),IF($J$1=$B$4,SUMIFS('Base de Dados'!E:E,'Base de Dados'!A:A,'Aba auxiliar'!$J$1,'Base de Dados'!C:C,'Aba auxiliar'!F33),IF($J$1=$B$5,SUMIFS('Base de Dados'!E:E,'Base de Dados'!A:A,'Aba auxiliar'!$J$1,'Base de Dados'!C:C,'Aba auxiliar'!F33)))))</f>
        <v>0</v>
      </c>
      <c r="I33" t="s">
        <v>44</v>
      </c>
      <c r="J33">
        <f t="shared" si="0"/>
        <v>0</v>
      </c>
    </row>
    <row r="34" spans="6:10">
      <c r="F34" t="s">
        <v>13</v>
      </c>
      <c r="G34">
        <f>IF($J$1=0,SUMIF('Base de Dados'!C:C,'Aba auxiliar'!F34,'Base de Dados'!E:E),IF($J$1=$B$3,SUMIFS('Base de Dados'!E:E,'Base de Dados'!A:A,'Aba auxiliar'!$J$1,'Base de Dados'!C:C,'Aba auxiliar'!F34),IF($J$1=$B$4,SUMIFS('Base de Dados'!E:E,'Base de Dados'!A:A,'Aba auxiliar'!$J$1,'Base de Dados'!C:C,'Aba auxiliar'!F34),IF($J$1=$B$5,SUMIFS('Base de Dados'!E:E,'Base de Dados'!A:A,'Aba auxiliar'!$J$1,'Base de Dados'!C:C,'Aba auxiliar'!F34)))))</f>
        <v>0</v>
      </c>
      <c r="I34" t="s">
        <v>18</v>
      </c>
      <c r="J34">
        <f t="shared" si="0"/>
        <v>0</v>
      </c>
    </row>
    <row r="35" spans="6:10">
      <c r="F35" t="s">
        <v>11</v>
      </c>
      <c r="G35">
        <f>IF($J$1=0,SUMIF('Base de Dados'!C:C,'Aba auxiliar'!F35,'Base de Dados'!E:E),IF($J$1=$B$3,SUMIFS('Base de Dados'!E:E,'Base de Dados'!A:A,'Aba auxiliar'!$J$1,'Base de Dados'!C:C,'Aba auxiliar'!F35),IF($J$1=$B$4,SUMIFS('Base de Dados'!E:E,'Base de Dados'!A:A,'Aba auxiliar'!$J$1,'Base de Dados'!C:C,'Aba auxiliar'!F35),IF($J$1=$B$5,SUMIFS('Base de Dados'!E:E,'Base de Dados'!A:A,'Aba auxiliar'!$J$1,'Base de Dados'!C:C,'Aba auxiliar'!F35)))))</f>
        <v>0</v>
      </c>
      <c r="I35" t="s">
        <v>19</v>
      </c>
      <c r="J35">
        <f t="shared" si="0"/>
        <v>0</v>
      </c>
    </row>
    <row r="36" spans="6:10">
      <c r="F36" t="s">
        <v>26</v>
      </c>
      <c r="G36">
        <f>IF($J$1=0,SUMIF('Base de Dados'!C:C,'Aba auxiliar'!F36,'Base de Dados'!E:E),IF($J$1=$B$3,SUMIFS('Base de Dados'!E:E,'Base de Dados'!A:A,'Aba auxiliar'!$J$1,'Base de Dados'!C:C,'Aba auxiliar'!F36),IF($J$1=$B$4,SUMIFS('Base de Dados'!E:E,'Base de Dados'!A:A,'Aba auxiliar'!$J$1,'Base de Dados'!C:C,'Aba auxiliar'!F36),IF($J$1=$B$5,SUMIFS('Base de Dados'!E:E,'Base de Dados'!A:A,'Aba auxiliar'!$J$1,'Base de Dados'!C:C,'Aba auxiliar'!F36)))))</f>
        <v>0</v>
      </c>
      <c r="I36" t="s">
        <v>41</v>
      </c>
      <c r="J36">
        <f t="shared" si="0"/>
        <v>0</v>
      </c>
    </row>
    <row r="37" spans="6:10">
      <c r="F37" t="s">
        <v>10</v>
      </c>
      <c r="G37">
        <f>IF($J$1=0,SUMIF('Base de Dados'!C:C,'Aba auxiliar'!F37,'Base de Dados'!E:E),IF($J$1=$B$3,SUMIFS('Base de Dados'!E:E,'Base de Dados'!A:A,'Aba auxiliar'!$J$1,'Base de Dados'!C:C,'Aba auxiliar'!F37),IF($J$1=$B$4,SUMIFS('Base de Dados'!E:E,'Base de Dados'!A:A,'Aba auxiliar'!$J$1,'Base de Dados'!C:C,'Aba auxiliar'!F37),IF($J$1=$B$5,SUMIFS('Base de Dados'!E:E,'Base de Dados'!A:A,'Aba auxiliar'!$J$1,'Base de Dados'!C:C,'Aba auxiliar'!F37)))))</f>
        <v>27</v>
      </c>
      <c r="I37" t="s">
        <v>15</v>
      </c>
      <c r="J37">
        <f t="shared" si="0"/>
        <v>0</v>
      </c>
    </row>
    <row r="38" spans="6:10">
      <c r="F38" t="s">
        <v>35</v>
      </c>
      <c r="G38">
        <f>IF($J$1=0,SUMIF('Base de Dados'!C:C,'Aba auxiliar'!F38,'Base de Dados'!E:E),IF($J$1=$B$3,SUMIFS('Base de Dados'!E:E,'Base de Dados'!A:A,'Aba auxiliar'!$J$1,'Base de Dados'!C:C,'Aba auxiliar'!F38),IF($J$1=$B$4,SUMIFS('Base de Dados'!E:E,'Base de Dados'!A:A,'Aba auxiliar'!$J$1,'Base de Dados'!C:C,'Aba auxiliar'!F38),IF($J$1=$B$5,SUMIFS('Base de Dados'!E:E,'Base de Dados'!A:A,'Aba auxiliar'!$J$1,'Base de Dados'!C:C,'Aba auxiliar'!F38)))))</f>
        <v>6</v>
      </c>
      <c r="I38" t="s">
        <v>30</v>
      </c>
      <c r="J38">
        <f t="shared" si="0"/>
        <v>0</v>
      </c>
    </row>
    <row r="39" spans="6:10">
      <c r="F39" t="s">
        <v>42</v>
      </c>
      <c r="G39">
        <f>IF($J$1=0,SUMIF('Base de Dados'!C:C,'Aba auxiliar'!F39,'Base de Dados'!E:E),IF($J$1=$B$3,SUMIFS('Base de Dados'!E:E,'Base de Dados'!A:A,'Aba auxiliar'!$J$1,'Base de Dados'!C:C,'Aba auxiliar'!F39),IF($J$1=$B$4,SUMIFS('Base de Dados'!E:E,'Base de Dados'!A:A,'Aba auxiliar'!$J$1,'Base de Dados'!C:C,'Aba auxiliar'!F39),IF($J$1=$B$5,SUMIFS('Base de Dados'!E:E,'Base de Dados'!A:A,'Aba auxiliar'!$J$1,'Base de Dados'!C:C,'Aba auxiliar'!F39)))))</f>
        <v>0</v>
      </c>
      <c r="I39" t="s">
        <v>17</v>
      </c>
      <c r="J39">
        <f t="shared" si="0"/>
        <v>0</v>
      </c>
    </row>
    <row r="40" spans="6:10">
      <c r="F40" t="s">
        <v>23</v>
      </c>
      <c r="G40">
        <f>IF($J$1=0,SUMIF('Base de Dados'!C:C,'Aba auxiliar'!F40,'Base de Dados'!E:E),IF($J$1=$B$3,SUMIFS('Base de Dados'!E:E,'Base de Dados'!A:A,'Aba auxiliar'!$J$1,'Base de Dados'!C:C,'Aba auxiliar'!F40),IF($J$1=$B$4,SUMIFS('Base de Dados'!E:E,'Base de Dados'!A:A,'Aba auxiliar'!$J$1,'Base de Dados'!C:C,'Aba auxiliar'!F40),IF($J$1=$B$5,SUMIFS('Base de Dados'!E:E,'Base de Dados'!A:A,'Aba auxiliar'!$J$1,'Base de Dados'!C:C,'Aba auxiliar'!F40)))))</f>
        <v>0</v>
      </c>
      <c r="I40" t="s">
        <v>42</v>
      </c>
      <c r="J40">
        <f t="shared" si="0"/>
        <v>0</v>
      </c>
    </row>
  </sheetData>
  <autoFilter ref="F2:G2" xr:uid="{535F0416-84E2-4BCC-ADDD-49EAC5933DAC}">
    <sortState xmlns:xlrd2="http://schemas.microsoft.com/office/spreadsheetml/2017/richdata2" ref="F3:G40">
      <sortCondition descending="1" ref="G2"/>
    </sortState>
  </autoFilter>
  <sortState xmlns:xlrd2="http://schemas.microsoft.com/office/spreadsheetml/2017/richdata2" ref="F3:F40">
    <sortCondition ref="F3:F40"/>
  </sortState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BBEA1-FD00-4E6A-A25E-88EADC846681}">
  <sheetPr codeName="Planilha4">
    <tabColor rgb="FF92D050"/>
  </sheetPr>
  <dimension ref="A1:BO823"/>
  <sheetViews>
    <sheetView tabSelected="1" topLeftCell="AE1" workbookViewId="0">
      <selection activeCell="AZ9" sqref="AZ9"/>
    </sheetView>
  </sheetViews>
  <sheetFormatPr defaultColWidth="0" defaultRowHeight="14.4"/>
  <cols>
    <col min="1" max="3" width="5.33203125" hidden="1" customWidth="1"/>
    <col min="4" max="4" width="13.109375" hidden="1" customWidth="1"/>
    <col min="5" max="5" width="18.33203125" hidden="1" customWidth="1"/>
    <col min="6" max="6" width="3" style="32" hidden="1" customWidth="1"/>
    <col min="7" max="7" width="11.5546875" hidden="1" customWidth="1"/>
    <col min="8" max="8" width="18.33203125" hidden="1" customWidth="1"/>
    <col min="9" max="9" width="2.6640625" hidden="1" customWidth="1"/>
    <col min="10" max="10" width="12.88671875" hidden="1" customWidth="1"/>
    <col min="11" max="12" width="2.6640625" hidden="1" customWidth="1"/>
    <col min="13" max="13" width="15" hidden="1" customWidth="1"/>
    <col min="14" max="14" width="2.6640625" hidden="1" customWidth="1"/>
    <col min="15" max="15" width="10.33203125" hidden="1" customWidth="1"/>
    <col min="16" max="16" width="14.6640625" hidden="1" customWidth="1"/>
    <col min="17" max="17" width="7.6640625" hidden="1" customWidth="1"/>
    <col min="18" max="18" width="2.6640625" hidden="1" customWidth="1"/>
    <col min="19" max="19" width="15.6640625" hidden="1" customWidth="1"/>
    <col min="20" max="20" width="4.33203125" hidden="1" customWidth="1"/>
    <col min="21" max="21" width="2.6640625" hidden="1" customWidth="1"/>
    <col min="22" max="22" width="14.88671875" hidden="1" customWidth="1"/>
    <col min="23" max="23" width="4" hidden="1" customWidth="1"/>
    <col min="24" max="24" width="2.6640625" hidden="1" customWidth="1"/>
    <col min="25" max="25" width="11.5546875" hidden="1" customWidth="1"/>
    <col min="26" max="26" width="4" hidden="1" customWidth="1"/>
    <col min="27" max="27" width="7.6640625" hidden="1" customWidth="1"/>
    <col min="28" max="29" width="9.6640625" hidden="1" customWidth="1"/>
    <col min="30" max="30" width="2.33203125" hidden="1" customWidth="1"/>
    <col min="31" max="31" width="9.109375" customWidth="1"/>
    <col min="32" max="32" width="14.33203125" customWidth="1"/>
    <col min="33" max="33" width="1.33203125" customWidth="1"/>
    <col min="34" max="34" width="2.33203125" customWidth="1"/>
    <col min="35" max="49" width="9.109375" customWidth="1"/>
    <col min="50" max="50" width="2.88671875" customWidth="1"/>
    <col min="51" max="62" width="9.109375" customWidth="1"/>
    <col min="63" max="67" width="0" hidden="1" customWidth="1"/>
    <col min="68" max="16384" width="9.109375" hidden="1"/>
  </cols>
  <sheetData>
    <row r="1" spans="1:62" ht="25.8">
      <c r="AE1" s="47" t="s">
        <v>68</v>
      </c>
      <c r="AF1" s="47"/>
      <c r="AG1" s="29"/>
      <c r="AH1" s="46" t="str">
        <f>CONCATENATE("DASHBOARD DE HORA EXTRA ",C2)</f>
        <v xml:space="preserve">DASHBOARD DE HORA EXTRA </v>
      </c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</row>
    <row r="2" spans="1:62">
      <c r="A2" s="21" t="s">
        <v>45</v>
      </c>
      <c r="B2" t="s">
        <v>67</v>
      </c>
      <c r="C2" s="6" t="str">
        <f>IF(B2="(TUDO)","",CONCATENATE("| DEPARTAMENTO: ",B2))</f>
        <v/>
      </c>
      <c r="AE2" s="47"/>
      <c r="AF2" s="47"/>
      <c r="AG2" s="29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</row>
    <row r="3" spans="1:62" ht="15" customHeight="1">
      <c r="A3">
        <f>COUNTA(A5:A1048576)</f>
        <v>38</v>
      </c>
      <c r="F3" s="33"/>
      <c r="AA3" s="6" t="str">
        <f>CONCATENATE(" Média: ",TEXT(AA5,"0,0"))</f>
        <v xml:space="preserve"> Média: 53,4</v>
      </c>
      <c r="AB3" s="6"/>
      <c r="AC3" s="6"/>
      <c r="AE3" s="28"/>
      <c r="AF3" s="28"/>
      <c r="AG3" s="29"/>
      <c r="AH3" s="27"/>
      <c r="AI3" s="48" t="s">
        <v>72</v>
      </c>
      <c r="AJ3" s="48"/>
      <c r="AK3" s="48"/>
      <c r="AL3" s="49">
        <f>A3</f>
        <v>38</v>
      </c>
      <c r="AM3" s="49"/>
      <c r="AN3" s="48" t="s">
        <v>73</v>
      </c>
      <c r="AO3" s="48"/>
      <c r="AP3" s="48"/>
      <c r="AQ3" s="49">
        <f>T5+T6</f>
        <v>1221</v>
      </c>
      <c r="AR3" s="49"/>
      <c r="AS3" s="48" t="s">
        <v>62</v>
      </c>
      <c r="AT3" s="48"/>
      <c r="AU3" s="48"/>
      <c r="AV3" s="49">
        <f>M5</f>
        <v>1825</v>
      </c>
      <c r="AW3" s="49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</row>
    <row r="4" spans="1:62" ht="15" customHeight="1">
      <c r="A4" s="21" t="s">
        <v>0</v>
      </c>
      <c r="B4" s="21" t="s">
        <v>55</v>
      </c>
      <c r="C4" s="21" t="s">
        <v>56</v>
      </c>
      <c r="D4" s="21" t="s">
        <v>2</v>
      </c>
      <c r="E4" t="s">
        <v>51</v>
      </c>
      <c r="F4" s="37"/>
      <c r="G4" s="21" t="s">
        <v>0</v>
      </c>
      <c r="H4" t="s">
        <v>51</v>
      </c>
      <c r="I4" s="6"/>
      <c r="J4" t="s">
        <v>51</v>
      </c>
      <c r="L4" s="6"/>
      <c r="M4" s="25" t="s">
        <v>62</v>
      </c>
      <c r="N4" s="6"/>
      <c r="O4" s="14" t="s">
        <v>74</v>
      </c>
      <c r="P4" s="30" t="str">
        <f>VLOOKUP(Q4,F:G,2,0)</f>
        <v>ANJOS</v>
      </c>
      <c r="Q4" s="34">
        <f>LARGE(H:H,1)</f>
        <v>86</v>
      </c>
      <c r="R4" s="6"/>
      <c r="S4" s="21" t="s">
        <v>2</v>
      </c>
      <c r="T4" t="s">
        <v>76</v>
      </c>
      <c r="U4" s="6"/>
      <c r="V4" s="14" t="s">
        <v>63</v>
      </c>
      <c r="W4" s="15" t="s">
        <v>66</v>
      </c>
      <c r="X4" s="6"/>
      <c r="Y4" s="14" t="s">
        <v>65</v>
      </c>
      <c r="Z4" s="30" t="s">
        <v>66</v>
      </c>
      <c r="AA4" s="30" t="s">
        <v>69</v>
      </c>
      <c r="AB4" s="30" t="s">
        <v>70</v>
      </c>
      <c r="AC4" s="15" t="s">
        <v>71</v>
      </c>
      <c r="AE4" s="28"/>
      <c r="AF4" s="28"/>
      <c r="AG4" s="29"/>
      <c r="AH4" s="27"/>
      <c r="AI4" s="48"/>
      <c r="AJ4" s="48"/>
      <c r="AK4" s="48"/>
      <c r="AL4" s="49"/>
      <c r="AM4" s="49"/>
      <c r="AN4" s="48"/>
      <c r="AO4" s="48"/>
      <c r="AP4" s="48"/>
      <c r="AQ4" s="49"/>
      <c r="AR4" s="49"/>
      <c r="AS4" s="48"/>
      <c r="AT4" s="48"/>
      <c r="AU4" s="48"/>
      <c r="AV4" s="49"/>
      <c r="AW4" s="49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</row>
    <row r="5" spans="1:62" ht="15" customHeight="1">
      <c r="A5" t="s">
        <v>29</v>
      </c>
      <c r="B5">
        <v>1</v>
      </c>
      <c r="C5" t="s">
        <v>57</v>
      </c>
      <c r="D5" t="s">
        <v>46</v>
      </c>
      <c r="E5" s="51">
        <v>2</v>
      </c>
      <c r="F5" s="37">
        <f>H5</f>
        <v>86</v>
      </c>
      <c r="G5" t="s">
        <v>9</v>
      </c>
      <c r="H5" s="51">
        <v>86</v>
      </c>
      <c r="J5">
        <v>1825</v>
      </c>
      <c r="M5" s="26">
        <f>SUM(E:E)</f>
        <v>1825</v>
      </c>
      <c r="O5" s="16"/>
      <c r="P5" t="str">
        <f>VLOOKUP(Q5,F:G,2,0)</f>
        <v>SILVA</v>
      </c>
      <c r="Q5" s="35">
        <f>LARGE(H:H,2)</f>
        <v>81</v>
      </c>
      <c r="S5" t="s">
        <v>46</v>
      </c>
      <c r="T5" s="51">
        <v>644</v>
      </c>
      <c r="V5" s="16" t="s">
        <v>58</v>
      </c>
      <c r="W5" s="17">
        <f t="shared" ref="W5:W10" si="0">SUMIF(C:C,V5,E:E)</f>
        <v>289</v>
      </c>
      <c r="Y5" s="16">
        <v>1</v>
      </c>
      <c r="Z5">
        <f t="shared" ref="Z5:Z35" si="1">SUMIF(B:B,Y5,E:E)</f>
        <v>70</v>
      </c>
      <c r="AA5" s="38">
        <f>AVERAGE(Z5:Z35)</f>
        <v>53.41935483870968</v>
      </c>
      <c r="AB5">
        <f>IF(Z5&gt;AA5,Z5,"")</f>
        <v>70</v>
      </c>
      <c r="AC5" s="17" t="str">
        <f>IF(Z5&lt;AA5,Z5,"")</f>
        <v/>
      </c>
      <c r="AE5" s="28"/>
      <c r="AF5" s="28"/>
      <c r="AG5" s="29"/>
      <c r="AH5" s="27"/>
      <c r="AI5" s="40"/>
      <c r="AJ5" s="40"/>
      <c r="AK5" s="40"/>
      <c r="AL5" s="45" t="str">
        <f>IF(AL3/J10=100%,"",CONCATENATE(TEXT(AL3/J10,"0%")," Do Total"))</f>
        <v/>
      </c>
      <c r="AM5" s="45"/>
      <c r="AN5" s="40"/>
      <c r="AO5" s="40"/>
      <c r="AP5" s="40"/>
      <c r="AQ5" s="45" t="str">
        <f>IF(AQ3/J8=100%,"",CONCATENATE(TEXT(AQ3/J8,"0%")," Do Total"))</f>
        <v/>
      </c>
      <c r="AR5" s="45"/>
      <c r="AS5" s="40"/>
      <c r="AT5" s="40"/>
      <c r="AU5" s="40"/>
      <c r="AV5" s="45" t="str">
        <f>IF(AV3/J5=100%,"",CONCATENATE(TEXT(AV3/J5,"0%")," Do Total"))</f>
        <v/>
      </c>
      <c r="AW5" s="45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</row>
    <row r="6" spans="1:62">
      <c r="B6">
        <v>5</v>
      </c>
      <c r="C6" t="s">
        <v>58</v>
      </c>
      <c r="D6" t="s">
        <v>46</v>
      </c>
      <c r="E6" s="51">
        <v>2</v>
      </c>
      <c r="F6" s="33">
        <f t="shared" ref="F6:F69" si="2">H6</f>
        <v>81</v>
      </c>
      <c r="G6" t="s">
        <v>16</v>
      </c>
      <c r="H6" s="51">
        <v>81</v>
      </c>
      <c r="O6" s="18"/>
      <c r="P6" s="31" t="str">
        <f>VLOOKUP(Q6,F:G,2,0)</f>
        <v>ELIAS</v>
      </c>
      <c r="Q6" s="36">
        <f>LARGE(H:H,3)</f>
        <v>79</v>
      </c>
      <c r="S6" t="s">
        <v>47</v>
      </c>
      <c r="T6" s="51">
        <v>577</v>
      </c>
      <c r="V6" s="16" t="s">
        <v>59</v>
      </c>
      <c r="W6" s="17">
        <f t="shared" si="0"/>
        <v>306</v>
      </c>
      <c r="Y6" s="16">
        <v>2</v>
      </c>
      <c r="Z6">
        <f t="shared" si="1"/>
        <v>4</v>
      </c>
      <c r="AA6" s="38">
        <f>$AA$5</f>
        <v>53.41935483870968</v>
      </c>
      <c r="AB6" t="str">
        <f t="shared" ref="AB6:AB35" si="3">IF(Z6&gt;AA6,Z6,"")</f>
        <v/>
      </c>
      <c r="AC6" s="17">
        <f t="shared" ref="AC6:AC35" si="4">IF(Z6&lt;AA6,Z6,"")</f>
        <v>4</v>
      </c>
      <c r="AE6" s="28"/>
      <c r="AF6" s="28"/>
      <c r="AG6" s="29"/>
      <c r="AH6" s="27"/>
      <c r="AI6" s="27"/>
      <c r="AJ6" s="27"/>
      <c r="AK6" s="27"/>
      <c r="AL6" s="41"/>
      <c r="AM6" s="41"/>
      <c r="AN6" s="41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</row>
    <row r="7" spans="1:62">
      <c r="B7">
        <v>6</v>
      </c>
      <c r="C7" t="s">
        <v>59</v>
      </c>
      <c r="D7" t="s">
        <v>46</v>
      </c>
      <c r="E7" s="51">
        <v>2</v>
      </c>
      <c r="F7" s="33">
        <f t="shared" si="2"/>
        <v>79</v>
      </c>
      <c r="G7" t="s">
        <v>36</v>
      </c>
      <c r="H7" s="51">
        <v>79</v>
      </c>
      <c r="J7" t="s">
        <v>76</v>
      </c>
      <c r="V7" s="16" t="s">
        <v>60</v>
      </c>
      <c r="W7" s="17">
        <f t="shared" si="0"/>
        <v>246</v>
      </c>
      <c r="Y7" s="16">
        <v>3</v>
      </c>
      <c r="Z7">
        <f t="shared" si="1"/>
        <v>6</v>
      </c>
      <c r="AA7" s="38">
        <f t="shared" ref="AA7:AA35" si="5">$AA$5</f>
        <v>53.41935483870968</v>
      </c>
      <c r="AB7" t="str">
        <f t="shared" si="3"/>
        <v/>
      </c>
      <c r="AC7" s="17">
        <f t="shared" si="4"/>
        <v>6</v>
      </c>
      <c r="AE7" s="28"/>
      <c r="AF7" s="28"/>
      <c r="AG7" s="29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</row>
    <row r="8" spans="1:62">
      <c r="B8">
        <v>7</v>
      </c>
      <c r="C8" t="s">
        <v>60</v>
      </c>
      <c r="D8" t="s">
        <v>46</v>
      </c>
      <c r="E8" s="51">
        <v>1</v>
      </c>
      <c r="F8" s="33">
        <f t="shared" si="2"/>
        <v>77</v>
      </c>
      <c r="G8" t="s">
        <v>14</v>
      </c>
      <c r="H8" s="51">
        <v>77</v>
      </c>
      <c r="J8">
        <v>1221</v>
      </c>
      <c r="O8" s="14" t="s">
        <v>75</v>
      </c>
      <c r="P8" s="30" t="str">
        <f>VLOOKUP(Q8,F:G,2,0)</f>
        <v>ROLLEMBERG</v>
      </c>
      <c r="Q8" s="34">
        <f>SMALL(H:H,1)</f>
        <v>2</v>
      </c>
      <c r="V8" s="16" t="s">
        <v>57</v>
      </c>
      <c r="W8" s="17">
        <f t="shared" si="0"/>
        <v>362</v>
      </c>
      <c r="Y8" s="16">
        <v>4</v>
      </c>
      <c r="Z8">
        <f t="shared" si="1"/>
        <v>2</v>
      </c>
      <c r="AA8" s="38">
        <f t="shared" si="5"/>
        <v>53.41935483870968</v>
      </c>
      <c r="AB8" t="str">
        <f t="shared" si="3"/>
        <v/>
      </c>
      <c r="AC8" s="17">
        <f t="shared" si="4"/>
        <v>2</v>
      </c>
      <c r="AE8" s="28"/>
      <c r="AF8" s="28"/>
      <c r="AG8" s="29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</row>
    <row r="9" spans="1:62">
      <c r="B9">
        <v>8</v>
      </c>
      <c r="C9" t="s">
        <v>57</v>
      </c>
      <c r="D9" t="s">
        <v>46</v>
      </c>
      <c r="E9" s="51">
        <v>3</v>
      </c>
      <c r="F9" s="33">
        <f t="shared" si="2"/>
        <v>77</v>
      </c>
      <c r="G9" t="s">
        <v>8</v>
      </c>
      <c r="H9" s="51">
        <v>77</v>
      </c>
      <c r="O9" s="16"/>
      <c r="P9" t="str">
        <f>VLOOKUP(Q9,F:G,2,0)</f>
        <v>ROLLEMBERG</v>
      </c>
      <c r="Q9" s="35">
        <f>SMALL(H:H,2)</f>
        <v>2</v>
      </c>
      <c r="V9" s="16" t="s">
        <v>61</v>
      </c>
      <c r="W9" s="17">
        <f t="shared" si="0"/>
        <v>357</v>
      </c>
      <c r="Y9" s="16">
        <v>5</v>
      </c>
      <c r="Z9">
        <f t="shared" si="1"/>
        <v>73</v>
      </c>
      <c r="AA9" s="38">
        <f t="shared" si="5"/>
        <v>53.41935483870968</v>
      </c>
      <c r="AB9">
        <f t="shared" si="3"/>
        <v>73</v>
      </c>
      <c r="AC9" s="17" t="str">
        <f t="shared" si="4"/>
        <v/>
      </c>
      <c r="AE9" s="28"/>
      <c r="AF9" s="28"/>
      <c r="AG9" s="29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</row>
    <row r="10" spans="1:62">
      <c r="B10">
        <v>9</v>
      </c>
      <c r="C10" t="s">
        <v>61</v>
      </c>
      <c r="D10" t="s">
        <v>46</v>
      </c>
      <c r="E10" s="51">
        <v>4</v>
      </c>
      <c r="F10" s="33">
        <f t="shared" si="2"/>
        <v>73</v>
      </c>
      <c r="G10" t="s">
        <v>27</v>
      </c>
      <c r="H10" s="51">
        <v>73</v>
      </c>
      <c r="J10">
        <f>COUNTA(J12:J11000)</f>
        <v>38</v>
      </c>
      <c r="O10" s="18"/>
      <c r="P10" s="31" t="str">
        <f>VLOOKUP(Q10,F:G,2,0)</f>
        <v>WALDECK</v>
      </c>
      <c r="Q10" s="36">
        <f>SMALL(H:H,3)</f>
        <v>25</v>
      </c>
      <c r="V10" s="18" t="s">
        <v>64</v>
      </c>
      <c r="W10" s="19">
        <f t="shared" si="0"/>
        <v>96</v>
      </c>
      <c r="Y10" s="16">
        <v>6</v>
      </c>
      <c r="Z10">
        <f t="shared" si="1"/>
        <v>71</v>
      </c>
      <c r="AA10" s="38">
        <f t="shared" si="5"/>
        <v>53.41935483870968</v>
      </c>
      <c r="AB10">
        <f t="shared" si="3"/>
        <v>71</v>
      </c>
      <c r="AC10" s="17" t="str">
        <f t="shared" si="4"/>
        <v/>
      </c>
      <c r="AE10" s="28"/>
      <c r="AF10" s="28"/>
      <c r="AG10" s="29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</row>
    <row r="11" spans="1:62">
      <c r="B11">
        <v>12</v>
      </c>
      <c r="C11" t="s">
        <v>58</v>
      </c>
      <c r="D11" t="s">
        <v>46</v>
      </c>
      <c r="E11" s="51">
        <v>2</v>
      </c>
      <c r="F11" s="33">
        <f t="shared" si="2"/>
        <v>71</v>
      </c>
      <c r="G11" t="s">
        <v>24</v>
      </c>
      <c r="H11" s="51">
        <v>71</v>
      </c>
      <c r="J11" s="21" t="s">
        <v>0</v>
      </c>
      <c r="Y11" s="16">
        <v>7</v>
      </c>
      <c r="Z11">
        <f t="shared" si="1"/>
        <v>77</v>
      </c>
      <c r="AA11" s="38">
        <f t="shared" si="5"/>
        <v>53.41935483870968</v>
      </c>
      <c r="AB11">
        <f t="shared" si="3"/>
        <v>77</v>
      </c>
      <c r="AC11" s="17" t="str">
        <f t="shared" si="4"/>
        <v/>
      </c>
      <c r="AE11" s="28"/>
      <c r="AF11" s="28"/>
      <c r="AG11" s="29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</row>
    <row r="12" spans="1:62">
      <c r="B12">
        <v>13</v>
      </c>
      <c r="C12" t="s">
        <v>59</v>
      </c>
      <c r="D12" t="s">
        <v>46</v>
      </c>
      <c r="E12" s="51">
        <v>1</v>
      </c>
      <c r="F12" s="33">
        <f t="shared" si="2"/>
        <v>67</v>
      </c>
      <c r="G12" t="s">
        <v>32</v>
      </c>
      <c r="H12" s="51">
        <v>67</v>
      </c>
      <c r="J12" t="s">
        <v>29</v>
      </c>
      <c r="Y12" s="16">
        <v>8</v>
      </c>
      <c r="Z12">
        <f t="shared" si="1"/>
        <v>83</v>
      </c>
      <c r="AA12" s="38">
        <f t="shared" si="5"/>
        <v>53.41935483870968</v>
      </c>
      <c r="AB12">
        <f t="shared" si="3"/>
        <v>83</v>
      </c>
      <c r="AC12" s="17" t="str">
        <f t="shared" si="4"/>
        <v/>
      </c>
      <c r="AE12" s="28"/>
      <c r="AF12" s="28"/>
      <c r="AG12" s="29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</row>
    <row r="13" spans="1:62">
      <c r="B13">
        <v>14</v>
      </c>
      <c r="C13" t="s">
        <v>60</v>
      </c>
      <c r="D13" t="s">
        <v>46</v>
      </c>
      <c r="E13" s="51">
        <v>5</v>
      </c>
      <c r="F13" s="33">
        <f t="shared" si="2"/>
        <v>65</v>
      </c>
      <c r="G13" t="s">
        <v>39</v>
      </c>
      <c r="H13" s="51">
        <v>65</v>
      </c>
      <c r="J13" t="s">
        <v>11</v>
      </c>
      <c r="Y13" s="16">
        <v>9</v>
      </c>
      <c r="Z13">
        <f t="shared" si="1"/>
        <v>77</v>
      </c>
      <c r="AA13" s="38">
        <f t="shared" si="5"/>
        <v>53.41935483870968</v>
      </c>
      <c r="AB13">
        <f t="shared" si="3"/>
        <v>77</v>
      </c>
      <c r="AC13" s="17" t="str">
        <f t="shared" si="4"/>
        <v/>
      </c>
      <c r="AE13" s="28"/>
      <c r="AF13" s="28"/>
      <c r="AG13" s="29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</row>
    <row r="14" spans="1:62">
      <c r="B14">
        <v>15</v>
      </c>
      <c r="C14" t="s">
        <v>57</v>
      </c>
      <c r="D14" t="s">
        <v>46</v>
      </c>
      <c r="E14" s="51">
        <v>2</v>
      </c>
      <c r="F14" s="33">
        <f t="shared" si="2"/>
        <v>64</v>
      </c>
      <c r="G14" t="s">
        <v>20</v>
      </c>
      <c r="H14" s="51">
        <v>64</v>
      </c>
      <c r="J14" t="s">
        <v>15</v>
      </c>
      <c r="Y14" s="16">
        <v>10</v>
      </c>
      <c r="Z14">
        <f t="shared" si="1"/>
        <v>30</v>
      </c>
      <c r="AA14" s="38">
        <f t="shared" si="5"/>
        <v>53.41935483870968</v>
      </c>
      <c r="AB14" t="str">
        <f t="shared" si="3"/>
        <v/>
      </c>
      <c r="AC14" s="17">
        <f t="shared" si="4"/>
        <v>30</v>
      </c>
      <c r="AE14" s="28"/>
      <c r="AF14" s="28"/>
      <c r="AG14" s="29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</row>
    <row r="15" spans="1:62">
      <c r="B15">
        <v>16</v>
      </c>
      <c r="C15" t="s">
        <v>61</v>
      </c>
      <c r="D15" t="s">
        <v>46</v>
      </c>
      <c r="E15" s="51">
        <v>2</v>
      </c>
      <c r="F15" s="33">
        <f t="shared" si="2"/>
        <v>62</v>
      </c>
      <c r="G15" t="s">
        <v>33</v>
      </c>
      <c r="H15" s="51">
        <v>62</v>
      </c>
      <c r="J15" t="s">
        <v>9</v>
      </c>
      <c r="Y15" s="16">
        <v>11</v>
      </c>
      <c r="Z15">
        <f t="shared" si="1"/>
        <v>16</v>
      </c>
      <c r="AA15" s="38">
        <f t="shared" si="5"/>
        <v>53.41935483870968</v>
      </c>
      <c r="AB15" t="str">
        <f t="shared" si="3"/>
        <v/>
      </c>
      <c r="AC15" s="17">
        <f t="shared" si="4"/>
        <v>16</v>
      </c>
      <c r="AE15" s="28"/>
      <c r="AF15" s="28"/>
      <c r="AG15" s="29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</row>
    <row r="16" spans="1:62">
      <c r="B16">
        <v>19</v>
      </c>
      <c r="C16" t="s">
        <v>58</v>
      </c>
      <c r="D16" t="s">
        <v>46</v>
      </c>
      <c r="E16" s="51">
        <v>2</v>
      </c>
      <c r="F16" s="33">
        <f t="shared" si="2"/>
        <v>62</v>
      </c>
      <c r="G16" t="s">
        <v>22</v>
      </c>
      <c r="H16" s="51">
        <v>62</v>
      </c>
      <c r="J16" t="s">
        <v>28</v>
      </c>
      <c r="Y16" s="16">
        <v>12</v>
      </c>
      <c r="Z16">
        <f t="shared" si="1"/>
        <v>73</v>
      </c>
      <c r="AA16" s="38">
        <f t="shared" si="5"/>
        <v>53.41935483870968</v>
      </c>
      <c r="AB16">
        <f t="shared" si="3"/>
        <v>73</v>
      </c>
      <c r="AC16" s="17" t="str">
        <f t="shared" si="4"/>
        <v/>
      </c>
      <c r="AE16" s="27"/>
      <c r="AF16" s="27"/>
      <c r="AG16" s="29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</row>
    <row r="17" spans="1:62">
      <c r="B17">
        <v>20</v>
      </c>
      <c r="C17" t="s">
        <v>59</v>
      </c>
      <c r="D17" t="s">
        <v>46</v>
      </c>
      <c r="E17" s="51">
        <v>2</v>
      </c>
      <c r="F17" s="33">
        <f t="shared" si="2"/>
        <v>61</v>
      </c>
      <c r="G17" t="s">
        <v>28</v>
      </c>
      <c r="H17" s="51">
        <v>61</v>
      </c>
      <c r="J17" t="s">
        <v>24</v>
      </c>
      <c r="Y17" s="16">
        <v>13</v>
      </c>
      <c r="Z17">
        <f t="shared" si="1"/>
        <v>75</v>
      </c>
      <c r="AA17" s="38">
        <f t="shared" si="5"/>
        <v>53.41935483870968</v>
      </c>
      <c r="AB17">
        <f t="shared" si="3"/>
        <v>75</v>
      </c>
      <c r="AC17" s="17" t="str">
        <f t="shared" si="4"/>
        <v/>
      </c>
      <c r="AE17" s="27"/>
      <c r="AF17" s="27"/>
      <c r="AG17" s="29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</row>
    <row r="18" spans="1:62">
      <c r="B18">
        <v>22</v>
      </c>
      <c r="C18" t="s">
        <v>57</v>
      </c>
      <c r="D18" t="s">
        <v>46</v>
      </c>
      <c r="E18" s="51">
        <v>1</v>
      </c>
      <c r="F18" s="33">
        <f t="shared" si="2"/>
        <v>59</v>
      </c>
      <c r="G18" t="s">
        <v>43</v>
      </c>
      <c r="H18" s="51">
        <v>59</v>
      </c>
      <c r="J18" t="s">
        <v>19</v>
      </c>
      <c r="Y18" s="16">
        <v>14</v>
      </c>
      <c r="Z18">
        <f t="shared" si="1"/>
        <v>76</v>
      </c>
      <c r="AA18" s="38">
        <f t="shared" si="5"/>
        <v>53.41935483870968</v>
      </c>
      <c r="AB18">
        <f t="shared" si="3"/>
        <v>76</v>
      </c>
      <c r="AC18" s="17" t="str">
        <f t="shared" si="4"/>
        <v/>
      </c>
      <c r="AE18" s="27"/>
      <c r="AF18" s="27"/>
      <c r="AG18" s="29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</row>
    <row r="19" spans="1:62">
      <c r="B19">
        <v>23</v>
      </c>
      <c r="C19" t="s">
        <v>61</v>
      </c>
      <c r="D19" t="s">
        <v>46</v>
      </c>
      <c r="E19" s="51">
        <v>1</v>
      </c>
      <c r="F19" s="33">
        <f t="shared" si="2"/>
        <v>56</v>
      </c>
      <c r="G19" t="s">
        <v>34</v>
      </c>
      <c r="H19" s="51">
        <v>56</v>
      </c>
      <c r="J19" t="s">
        <v>18</v>
      </c>
      <c r="Y19" s="16">
        <v>15</v>
      </c>
      <c r="Z19">
        <f t="shared" si="1"/>
        <v>80</v>
      </c>
      <c r="AA19" s="38">
        <f t="shared" si="5"/>
        <v>53.41935483870968</v>
      </c>
      <c r="AB19">
        <f t="shared" si="3"/>
        <v>80</v>
      </c>
      <c r="AC19" s="17" t="str">
        <f t="shared" si="4"/>
        <v/>
      </c>
      <c r="AE19" s="27"/>
      <c r="AF19" s="27"/>
      <c r="AG19" s="29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</row>
    <row r="20" spans="1:62">
      <c r="B20">
        <v>26</v>
      </c>
      <c r="C20" t="s">
        <v>58</v>
      </c>
      <c r="D20" t="s">
        <v>46</v>
      </c>
      <c r="E20" s="51">
        <v>2</v>
      </c>
      <c r="F20" s="33">
        <f t="shared" si="2"/>
        <v>54</v>
      </c>
      <c r="G20" t="s">
        <v>31</v>
      </c>
      <c r="H20" s="51">
        <v>54</v>
      </c>
      <c r="J20" t="s">
        <v>44</v>
      </c>
      <c r="Y20" s="16">
        <v>16</v>
      </c>
      <c r="Z20">
        <f t="shared" si="1"/>
        <v>82</v>
      </c>
      <c r="AA20" s="38">
        <f t="shared" si="5"/>
        <v>53.41935483870968</v>
      </c>
      <c r="AB20">
        <f t="shared" si="3"/>
        <v>82</v>
      </c>
      <c r="AC20" s="17" t="str">
        <f t="shared" si="4"/>
        <v/>
      </c>
      <c r="AE20" s="27"/>
      <c r="AF20" s="27"/>
      <c r="AG20" s="29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</row>
    <row r="21" spans="1:62">
      <c r="B21">
        <v>27</v>
      </c>
      <c r="C21" t="s">
        <v>59</v>
      </c>
      <c r="D21" t="s">
        <v>46</v>
      </c>
      <c r="E21" s="51">
        <v>5</v>
      </c>
      <c r="F21" s="33">
        <f t="shared" si="2"/>
        <v>50</v>
      </c>
      <c r="G21" t="s">
        <v>44</v>
      </c>
      <c r="H21" s="51">
        <v>50</v>
      </c>
      <c r="J21" t="s">
        <v>33</v>
      </c>
      <c r="Y21" s="16">
        <v>17</v>
      </c>
      <c r="Z21">
        <f t="shared" si="1"/>
        <v>9</v>
      </c>
      <c r="AA21" s="38">
        <f t="shared" si="5"/>
        <v>53.41935483870968</v>
      </c>
      <c r="AB21" t="str">
        <f t="shared" si="3"/>
        <v/>
      </c>
      <c r="AC21" s="17">
        <f t="shared" si="4"/>
        <v>9</v>
      </c>
      <c r="AE21" s="27"/>
      <c r="AF21" s="27"/>
      <c r="AG21" s="29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</row>
    <row r="22" spans="1:62">
      <c r="B22">
        <v>28</v>
      </c>
      <c r="C22" t="s">
        <v>60</v>
      </c>
      <c r="D22" t="s">
        <v>46</v>
      </c>
      <c r="E22" s="51">
        <v>3</v>
      </c>
      <c r="F22" s="33">
        <f t="shared" si="2"/>
        <v>48</v>
      </c>
      <c r="G22" t="s">
        <v>7</v>
      </c>
      <c r="H22" s="51">
        <v>48</v>
      </c>
      <c r="J22" t="s">
        <v>10</v>
      </c>
      <c r="Y22" s="16">
        <v>18</v>
      </c>
      <c r="Z22">
        <f t="shared" si="1"/>
        <v>14</v>
      </c>
      <c r="AA22" s="38">
        <f t="shared" si="5"/>
        <v>53.41935483870968</v>
      </c>
      <c r="AB22" t="str">
        <f t="shared" si="3"/>
        <v/>
      </c>
      <c r="AC22" s="17">
        <f t="shared" si="4"/>
        <v>14</v>
      </c>
      <c r="AE22" s="27"/>
      <c r="AF22" s="27"/>
      <c r="AG22" s="29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</row>
    <row r="23" spans="1:62">
      <c r="B23">
        <v>29</v>
      </c>
      <c r="C23" t="s">
        <v>57</v>
      </c>
      <c r="D23" t="s">
        <v>46</v>
      </c>
      <c r="E23" s="51">
        <v>1</v>
      </c>
      <c r="F23" s="33">
        <f t="shared" si="2"/>
        <v>47</v>
      </c>
      <c r="G23" t="s">
        <v>18</v>
      </c>
      <c r="H23" s="51">
        <v>47</v>
      </c>
      <c r="J23" t="s">
        <v>40</v>
      </c>
      <c r="Y23" s="16">
        <v>19</v>
      </c>
      <c r="Z23">
        <f t="shared" si="1"/>
        <v>73</v>
      </c>
      <c r="AA23" s="38">
        <f t="shared" si="5"/>
        <v>53.41935483870968</v>
      </c>
      <c r="AB23">
        <f t="shared" si="3"/>
        <v>73</v>
      </c>
      <c r="AC23" s="17" t="str">
        <f t="shared" si="4"/>
        <v/>
      </c>
      <c r="AE23" s="27"/>
      <c r="AF23" s="27"/>
      <c r="AG23" s="29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</row>
    <row r="24" spans="1:62">
      <c r="B24">
        <v>30</v>
      </c>
      <c r="C24" t="s">
        <v>61</v>
      </c>
      <c r="D24" t="s">
        <v>46</v>
      </c>
      <c r="E24" s="51">
        <v>4</v>
      </c>
      <c r="F24" s="33">
        <f t="shared" si="2"/>
        <v>47</v>
      </c>
      <c r="G24" t="s">
        <v>29</v>
      </c>
      <c r="H24" s="51">
        <v>47</v>
      </c>
      <c r="J24" t="s">
        <v>42</v>
      </c>
      <c r="Y24" s="16">
        <v>20</v>
      </c>
      <c r="Z24">
        <f t="shared" si="1"/>
        <v>73</v>
      </c>
      <c r="AA24" s="38">
        <f t="shared" si="5"/>
        <v>53.41935483870968</v>
      </c>
      <c r="AB24">
        <f t="shared" si="3"/>
        <v>73</v>
      </c>
      <c r="AC24" s="17" t="str">
        <f t="shared" si="4"/>
        <v/>
      </c>
      <c r="AE24" s="27"/>
      <c r="AF24" s="27"/>
      <c r="AG24" s="29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</row>
    <row r="25" spans="1:62">
      <c r="A25" t="s">
        <v>11</v>
      </c>
      <c r="B25">
        <v>5</v>
      </c>
      <c r="C25" t="s">
        <v>58</v>
      </c>
      <c r="D25" t="s">
        <v>47</v>
      </c>
      <c r="E25" s="51">
        <v>2</v>
      </c>
      <c r="F25" s="33">
        <f t="shared" si="2"/>
        <v>46</v>
      </c>
      <c r="G25" t="s">
        <v>41</v>
      </c>
      <c r="H25" s="51">
        <v>46</v>
      </c>
      <c r="J25" t="s">
        <v>36</v>
      </c>
      <c r="Y25" s="16">
        <v>21</v>
      </c>
      <c r="Z25">
        <f t="shared" si="1"/>
        <v>12</v>
      </c>
      <c r="AA25" s="38">
        <f t="shared" si="5"/>
        <v>53.41935483870968</v>
      </c>
      <c r="AB25" t="str">
        <f t="shared" si="3"/>
        <v/>
      </c>
      <c r="AC25" s="17">
        <f t="shared" si="4"/>
        <v>12</v>
      </c>
      <c r="AE25" s="27"/>
      <c r="AF25" s="27"/>
      <c r="AG25" s="29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</row>
    <row r="26" spans="1:62">
      <c r="B26">
        <v>6</v>
      </c>
      <c r="C26" t="s">
        <v>59</v>
      </c>
      <c r="D26" t="s">
        <v>47</v>
      </c>
      <c r="E26" s="51">
        <v>1</v>
      </c>
      <c r="F26" s="33">
        <f t="shared" si="2"/>
        <v>46</v>
      </c>
      <c r="G26" t="s">
        <v>19</v>
      </c>
      <c r="H26" s="51">
        <v>46</v>
      </c>
      <c r="J26" t="s">
        <v>30</v>
      </c>
      <c r="Y26" s="16">
        <v>22</v>
      </c>
      <c r="Z26">
        <f t="shared" si="1"/>
        <v>68</v>
      </c>
      <c r="AA26" s="38">
        <f t="shared" si="5"/>
        <v>53.41935483870968</v>
      </c>
      <c r="AB26">
        <f t="shared" si="3"/>
        <v>68</v>
      </c>
      <c r="AC26" s="17" t="str">
        <f t="shared" si="4"/>
        <v/>
      </c>
      <c r="AE26" s="27"/>
      <c r="AF26" s="27"/>
      <c r="AG26" s="29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</row>
    <row r="27" spans="1:62">
      <c r="B27">
        <v>7</v>
      </c>
      <c r="C27" t="s">
        <v>60</v>
      </c>
      <c r="D27" t="s">
        <v>47</v>
      </c>
      <c r="E27" s="51">
        <v>1</v>
      </c>
      <c r="F27" s="33">
        <f t="shared" si="2"/>
        <v>44</v>
      </c>
      <c r="G27" t="s">
        <v>15</v>
      </c>
      <c r="H27" s="51">
        <v>44</v>
      </c>
      <c r="J27" t="s">
        <v>22</v>
      </c>
      <c r="Y27" s="16">
        <v>23</v>
      </c>
      <c r="Z27">
        <f t="shared" si="1"/>
        <v>73</v>
      </c>
      <c r="AA27" s="38">
        <f t="shared" si="5"/>
        <v>53.41935483870968</v>
      </c>
      <c r="AB27">
        <f t="shared" si="3"/>
        <v>73</v>
      </c>
      <c r="AC27" s="17" t="str">
        <f t="shared" si="4"/>
        <v/>
      </c>
      <c r="AE27" s="27"/>
      <c r="AF27" s="27"/>
      <c r="AG27" s="29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</row>
    <row r="28" spans="1:62">
      <c r="B28">
        <v>8</v>
      </c>
      <c r="C28" t="s">
        <v>57</v>
      </c>
      <c r="D28" t="s">
        <v>47</v>
      </c>
      <c r="E28" s="51">
        <v>2</v>
      </c>
      <c r="F28" s="33">
        <f t="shared" si="2"/>
        <v>39</v>
      </c>
      <c r="G28" t="s">
        <v>40</v>
      </c>
      <c r="H28" s="51">
        <v>39</v>
      </c>
      <c r="J28" t="s">
        <v>34</v>
      </c>
      <c r="Y28" s="16">
        <v>24</v>
      </c>
      <c r="Z28">
        <f t="shared" si="1"/>
        <v>10</v>
      </c>
      <c r="AA28" s="38">
        <f t="shared" si="5"/>
        <v>53.41935483870968</v>
      </c>
      <c r="AB28" t="str">
        <f t="shared" si="3"/>
        <v/>
      </c>
      <c r="AC28" s="17">
        <f t="shared" si="4"/>
        <v>10</v>
      </c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</row>
    <row r="29" spans="1:62">
      <c r="B29">
        <v>9</v>
      </c>
      <c r="C29" t="s">
        <v>61</v>
      </c>
      <c r="D29" t="s">
        <v>47</v>
      </c>
      <c r="E29" s="51">
        <v>1</v>
      </c>
      <c r="F29" s="33">
        <f t="shared" si="2"/>
        <v>37</v>
      </c>
      <c r="G29" t="s">
        <v>38</v>
      </c>
      <c r="H29" s="51">
        <v>37</v>
      </c>
      <c r="J29" t="s">
        <v>43</v>
      </c>
      <c r="Y29" s="16">
        <v>25</v>
      </c>
      <c r="Z29">
        <f t="shared" si="1"/>
        <v>9</v>
      </c>
      <c r="AA29" s="38">
        <f t="shared" si="5"/>
        <v>53.41935483870968</v>
      </c>
      <c r="AB29" t="str">
        <f t="shared" si="3"/>
        <v/>
      </c>
      <c r="AC29" s="17">
        <f t="shared" si="4"/>
        <v>9</v>
      </c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</row>
    <row r="30" spans="1:62">
      <c r="B30">
        <v>12</v>
      </c>
      <c r="C30" t="s">
        <v>58</v>
      </c>
      <c r="D30" t="s">
        <v>47</v>
      </c>
      <c r="E30" s="51">
        <v>1</v>
      </c>
      <c r="F30" s="33">
        <f t="shared" si="2"/>
        <v>34</v>
      </c>
      <c r="G30" t="s">
        <v>25</v>
      </c>
      <c r="H30" s="51">
        <v>34</v>
      </c>
      <c r="J30" t="s">
        <v>13</v>
      </c>
      <c r="Y30" s="16">
        <v>26</v>
      </c>
      <c r="Z30">
        <f t="shared" si="1"/>
        <v>70</v>
      </c>
      <c r="AA30" s="38">
        <f t="shared" si="5"/>
        <v>53.41935483870968</v>
      </c>
      <c r="AB30">
        <f t="shared" si="3"/>
        <v>70</v>
      </c>
      <c r="AC30" s="17" t="str">
        <f t="shared" si="4"/>
        <v/>
      </c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</row>
    <row r="31" spans="1:62">
      <c r="B31">
        <v>13</v>
      </c>
      <c r="C31" t="s">
        <v>59</v>
      </c>
      <c r="D31" t="s">
        <v>47</v>
      </c>
      <c r="E31" s="51">
        <v>2</v>
      </c>
      <c r="F31" s="33">
        <f t="shared" si="2"/>
        <v>32</v>
      </c>
      <c r="G31" t="s">
        <v>37</v>
      </c>
      <c r="H31" s="51">
        <v>32</v>
      </c>
      <c r="J31" t="s">
        <v>25</v>
      </c>
      <c r="Y31" s="16">
        <v>27</v>
      </c>
      <c r="Z31">
        <f t="shared" si="1"/>
        <v>87</v>
      </c>
      <c r="AA31" s="38">
        <f t="shared" si="5"/>
        <v>53.41935483870968</v>
      </c>
      <c r="AB31">
        <f t="shared" si="3"/>
        <v>87</v>
      </c>
      <c r="AC31" s="17" t="str">
        <f t="shared" si="4"/>
        <v/>
      </c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</row>
    <row r="32" spans="1:62">
      <c r="B32">
        <v>14</v>
      </c>
      <c r="C32" t="s">
        <v>60</v>
      </c>
      <c r="D32" t="s">
        <v>47</v>
      </c>
      <c r="E32" s="51">
        <v>2</v>
      </c>
      <c r="F32" s="33">
        <f t="shared" si="2"/>
        <v>30</v>
      </c>
      <c r="G32" t="s">
        <v>30</v>
      </c>
      <c r="H32" s="51">
        <v>30</v>
      </c>
      <c r="J32" t="s">
        <v>37</v>
      </c>
      <c r="Y32" s="16">
        <v>28</v>
      </c>
      <c r="Z32">
        <f t="shared" si="1"/>
        <v>81</v>
      </c>
      <c r="AA32" s="38">
        <f t="shared" si="5"/>
        <v>53.41935483870968</v>
      </c>
      <c r="AB32">
        <f t="shared" si="3"/>
        <v>81</v>
      </c>
      <c r="AC32" s="17" t="str">
        <f t="shared" si="4"/>
        <v/>
      </c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</row>
    <row r="33" spans="1:55">
      <c r="B33">
        <v>15</v>
      </c>
      <c r="C33" t="s">
        <v>57</v>
      </c>
      <c r="D33" t="s">
        <v>47</v>
      </c>
      <c r="E33" s="51">
        <v>2</v>
      </c>
      <c r="F33" s="33">
        <f t="shared" si="2"/>
        <v>30</v>
      </c>
      <c r="G33" t="s">
        <v>21</v>
      </c>
      <c r="H33" s="51">
        <v>30</v>
      </c>
      <c r="J33" t="s">
        <v>20</v>
      </c>
      <c r="Y33" s="16">
        <v>29</v>
      </c>
      <c r="Z33">
        <f t="shared" si="1"/>
        <v>61</v>
      </c>
      <c r="AA33" s="38">
        <f t="shared" si="5"/>
        <v>53.41935483870968</v>
      </c>
      <c r="AB33">
        <f t="shared" si="3"/>
        <v>61</v>
      </c>
      <c r="AC33" s="17" t="str">
        <f t="shared" si="4"/>
        <v/>
      </c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</row>
    <row r="34" spans="1:55">
      <c r="B34">
        <v>16</v>
      </c>
      <c r="C34" t="s">
        <v>61</v>
      </c>
      <c r="D34" t="s">
        <v>47</v>
      </c>
      <c r="E34" s="51">
        <v>1</v>
      </c>
      <c r="F34" s="33">
        <f t="shared" si="2"/>
        <v>30</v>
      </c>
      <c r="G34" t="s">
        <v>17</v>
      </c>
      <c r="H34" s="51">
        <v>30</v>
      </c>
      <c r="J34" t="s">
        <v>7</v>
      </c>
      <c r="Y34" s="16">
        <v>30</v>
      </c>
      <c r="Z34">
        <f t="shared" si="1"/>
        <v>121</v>
      </c>
      <c r="AA34" s="38">
        <f t="shared" si="5"/>
        <v>53.41935483870968</v>
      </c>
      <c r="AB34">
        <f t="shared" si="3"/>
        <v>121</v>
      </c>
      <c r="AC34" s="17" t="str">
        <f t="shared" si="4"/>
        <v/>
      </c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</row>
    <row r="35" spans="1:55">
      <c r="B35">
        <v>19</v>
      </c>
      <c r="C35" t="s">
        <v>58</v>
      </c>
      <c r="D35" t="s">
        <v>47</v>
      </c>
      <c r="E35" s="51">
        <v>2</v>
      </c>
      <c r="F35" s="33">
        <f t="shared" si="2"/>
        <v>30</v>
      </c>
      <c r="G35" t="s">
        <v>12</v>
      </c>
      <c r="H35" s="51">
        <v>30</v>
      </c>
      <c r="J35" t="s">
        <v>39</v>
      </c>
      <c r="Y35" s="18">
        <v>31</v>
      </c>
      <c r="Z35" s="31">
        <f t="shared" si="1"/>
        <v>0</v>
      </c>
      <c r="AA35" s="39">
        <f t="shared" si="5"/>
        <v>53.41935483870968</v>
      </c>
      <c r="AB35" s="31" t="str">
        <f t="shared" si="3"/>
        <v/>
      </c>
      <c r="AC35" s="19">
        <f t="shared" si="4"/>
        <v>0</v>
      </c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</row>
    <row r="36" spans="1:55">
      <c r="B36">
        <v>20</v>
      </c>
      <c r="C36" t="s">
        <v>59</v>
      </c>
      <c r="D36" t="s">
        <v>47</v>
      </c>
      <c r="E36" s="51">
        <v>2</v>
      </c>
      <c r="F36" s="33">
        <f t="shared" si="2"/>
        <v>29</v>
      </c>
      <c r="G36" t="s">
        <v>13</v>
      </c>
      <c r="H36" s="51">
        <v>29</v>
      </c>
      <c r="J36" t="s">
        <v>27</v>
      </c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</row>
    <row r="37" spans="1:55">
      <c r="B37">
        <v>22</v>
      </c>
      <c r="C37" t="s">
        <v>57</v>
      </c>
      <c r="D37" t="s">
        <v>47</v>
      </c>
      <c r="E37" s="51">
        <v>1</v>
      </c>
      <c r="F37" s="33">
        <f t="shared" si="2"/>
        <v>28</v>
      </c>
      <c r="G37" t="s">
        <v>26</v>
      </c>
      <c r="H37" s="51">
        <v>28</v>
      </c>
      <c r="J37" t="s">
        <v>38</v>
      </c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</row>
    <row r="38" spans="1:55">
      <c r="B38">
        <v>23</v>
      </c>
      <c r="C38" t="s">
        <v>61</v>
      </c>
      <c r="D38" t="s">
        <v>47</v>
      </c>
      <c r="E38" s="51">
        <v>1</v>
      </c>
      <c r="F38" s="33">
        <f t="shared" si="2"/>
        <v>28</v>
      </c>
      <c r="G38" t="s">
        <v>11</v>
      </c>
      <c r="H38" s="51">
        <v>28</v>
      </c>
      <c r="J38" t="s">
        <v>32</v>
      </c>
    </row>
    <row r="39" spans="1:55">
      <c r="B39">
        <v>26</v>
      </c>
      <c r="C39" t="s">
        <v>58</v>
      </c>
      <c r="D39" t="s">
        <v>47</v>
      </c>
      <c r="E39" s="51">
        <v>2</v>
      </c>
      <c r="F39" s="33">
        <f t="shared" si="2"/>
        <v>27</v>
      </c>
      <c r="G39" t="s">
        <v>10</v>
      </c>
      <c r="H39" s="51">
        <v>27</v>
      </c>
      <c r="J39" t="s">
        <v>21</v>
      </c>
    </row>
    <row r="40" spans="1:55">
      <c r="B40">
        <v>27</v>
      </c>
      <c r="C40" t="s">
        <v>59</v>
      </c>
      <c r="D40" t="s">
        <v>47</v>
      </c>
      <c r="E40" s="51">
        <v>1</v>
      </c>
      <c r="F40" s="33">
        <f t="shared" si="2"/>
        <v>25</v>
      </c>
      <c r="G40" t="s">
        <v>35</v>
      </c>
      <c r="H40" s="51">
        <v>25</v>
      </c>
      <c r="J40" t="s">
        <v>14</v>
      </c>
    </row>
    <row r="41" spans="1:55">
      <c r="B41">
        <v>28</v>
      </c>
      <c r="C41" t="s">
        <v>60</v>
      </c>
      <c r="D41" t="s">
        <v>47</v>
      </c>
      <c r="E41" s="51">
        <v>1</v>
      </c>
      <c r="F41" s="33">
        <f t="shared" si="2"/>
        <v>2</v>
      </c>
      <c r="G41" t="s">
        <v>23</v>
      </c>
      <c r="H41" s="51">
        <v>2</v>
      </c>
      <c r="J41" t="s">
        <v>31</v>
      </c>
    </row>
    <row r="42" spans="1:55">
      <c r="B42">
        <v>29</v>
      </c>
      <c r="C42" t="s">
        <v>57</v>
      </c>
      <c r="D42" t="s">
        <v>47</v>
      </c>
      <c r="E42" s="51">
        <v>1</v>
      </c>
      <c r="F42" s="33">
        <f t="shared" si="2"/>
        <v>2</v>
      </c>
      <c r="G42" t="s">
        <v>42</v>
      </c>
      <c r="H42" s="51">
        <v>2</v>
      </c>
      <c r="J42" t="s">
        <v>17</v>
      </c>
    </row>
    <row r="43" spans="1:55">
      <c r="B43">
        <v>30</v>
      </c>
      <c r="C43" t="s">
        <v>61</v>
      </c>
      <c r="D43" t="s">
        <v>47</v>
      </c>
      <c r="E43" s="51">
        <v>2</v>
      </c>
      <c r="F43" s="33">
        <f t="shared" si="2"/>
        <v>0</v>
      </c>
      <c r="J43" t="s">
        <v>12</v>
      </c>
    </row>
    <row r="44" spans="1:55">
      <c r="A44" t="s">
        <v>15</v>
      </c>
      <c r="B44">
        <v>1</v>
      </c>
      <c r="C44" t="s">
        <v>57</v>
      </c>
      <c r="D44" t="s">
        <v>46</v>
      </c>
      <c r="E44" s="51">
        <v>1</v>
      </c>
      <c r="F44" s="33">
        <f t="shared" si="2"/>
        <v>0</v>
      </c>
      <c r="J44" t="s">
        <v>23</v>
      </c>
    </row>
    <row r="45" spans="1:55">
      <c r="B45">
        <v>5</v>
      </c>
      <c r="C45" t="s">
        <v>58</v>
      </c>
      <c r="D45" t="s">
        <v>46</v>
      </c>
      <c r="E45" s="51">
        <v>2</v>
      </c>
      <c r="F45" s="33">
        <f t="shared" si="2"/>
        <v>0</v>
      </c>
      <c r="J45" t="s">
        <v>8</v>
      </c>
    </row>
    <row r="46" spans="1:55">
      <c r="B46">
        <v>6</v>
      </c>
      <c r="C46" t="s">
        <v>59</v>
      </c>
      <c r="D46" t="s">
        <v>46</v>
      </c>
      <c r="E46" s="51">
        <v>1</v>
      </c>
      <c r="F46" s="33">
        <f t="shared" si="2"/>
        <v>0</v>
      </c>
      <c r="J46" t="s">
        <v>16</v>
      </c>
    </row>
    <row r="47" spans="1:55">
      <c r="B47">
        <v>7</v>
      </c>
      <c r="C47" t="s">
        <v>60</v>
      </c>
      <c r="D47" t="s">
        <v>46</v>
      </c>
      <c r="E47" s="51">
        <v>3</v>
      </c>
      <c r="F47" s="33">
        <f t="shared" si="2"/>
        <v>0</v>
      </c>
      <c r="J47" t="s">
        <v>26</v>
      </c>
    </row>
    <row r="48" spans="1:55">
      <c r="B48">
        <v>8</v>
      </c>
      <c r="C48" t="s">
        <v>57</v>
      </c>
      <c r="D48" t="s">
        <v>46</v>
      </c>
      <c r="E48" s="51">
        <v>2</v>
      </c>
      <c r="F48" s="33">
        <f t="shared" si="2"/>
        <v>0</v>
      </c>
      <c r="J48" t="s">
        <v>41</v>
      </c>
    </row>
    <row r="49" spans="2:10">
      <c r="B49">
        <v>9</v>
      </c>
      <c r="C49" t="s">
        <v>61</v>
      </c>
      <c r="D49" t="s">
        <v>46</v>
      </c>
      <c r="E49" s="51">
        <v>2</v>
      </c>
      <c r="F49" s="33">
        <f t="shared" si="2"/>
        <v>0</v>
      </c>
      <c r="J49" t="s">
        <v>35</v>
      </c>
    </row>
    <row r="50" spans="2:10">
      <c r="B50">
        <v>10</v>
      </c>
      <c r="C50" t="s">
        <v>64</v>
      </c>
      <c r="D50" t="s">
        <v>46</v>
      </c>
      <c r="E50" s="51">
        <v>2</v>
      </c>
      <c r="F50" s="33">
        <f t="shared" si="2"/>
        <v>0</v>
      </c>
    </row>
    <row r="51" spans="2:10">
      <c r="B51">
        <v>12</v>
      </c>
      <c r="C51" t="s">
        <v>58</v>
      </c>
      <c r="D51" t="s">
        <v>46</v>
      </c>
      <c r="E51" s="51">
        <v>2</v>
      </c>
      <c r="F51" s="33">
        <f t="shared" si="2"/>
        <v>0</v>
      </c>
    </row>
    <row r="52" spans="2:10">
      <c r="B52">
        <v>13</v>
      </c>
      <c r="C52" t="s">
        <v>59</v>
      </c>
      <c r="D52" t="s">
        <v>46</v>
      </c>
      <c r="E52" s="51">
        <v>2</v>
      </c>
      <c r="F52" s="33">
        <f t="shared" si="2"/>
        <v>0</v>
      </c>
    </row>
    <row r="53" spans="2:10">
      <c r="B53">
        <v>14</v>
      </c>
      <c r="C53" t="s">
        <v>60</v>
      </c>
      <c r="D53" t="s">
        <v>46</v>
      </c>
      <c r="E53" s="51">
        <v>2</v>
      </c>
      <c r="F53" s="33">
        <f t="shared" si="2"/>
        <v>0</v>
      </c>
    </row>
    <row r="54" spans="2:10">
      <c r="B54">
        <v>15</v>
      </c>
      <c r="C54" t="s">
        <v>57</v>
      </c>
      <c r="D54" t="s">
        <v>46</v>
      </c>
      <c r="E54" s="51">
        <v>2</v>
      </c>
      <c r="F54" s="33">
        <f t="shared" si="2"/>
        <v>0</v>
      </c>
    </row>
    <row r="55" spans="2:10">
      <c r="B55">
        <v>16</v>
      </c>
      <c r="C55" t="s">
        <v>61</v>
      </c>
      <c r="D55" t="s">
        <v>46</v>
      </c>
      <c r="E55" s="51">
        <v>2</v>
      </c>
      <c r="F55" s="33">
        <f t="shared" si="2"/>
        <v>0</v>
      </c>
    </row>
    <row r="56" spans="2:10">
      <c r="B56">
        <v>19</v>
      </c>
      <c r="C56" t="s">
        <v>58</v>
      </c>
      <c r="D56" t="s">
        <v>46</v>
      </c>
      <c r="E56" s="51">
        <v>3</v>
      </c>
      <c r="F56" s="33">
        <f t="shared" si="2"/>
        <v>0</v>
      </c>
    </row>
    <row r="57" spans="2:10">
      <c r="B57">
        <v>20</v>
      </c>
      <c r="C57" t="s">
        <v>59</v>
      </c>
      <c r="D57" t="s">
        <v>46</v>
      </c>
      <c r="E57" s="51">
        <v>2</v>
      </c>
      <c r="F57" s="33">
        <f t="shared" si="2"/>
        <v>0</v>
      </c>
    </row>
    <row r="58" spans="2:10">
      <c r="B58">
        <v>22</v>
      </c>
      <c r="C58" t="s">
        <v>57</v>
      </c>
      <c r="D58" t="s">
        <v>46</v>
      </c>
      <c r="E58" s="51">
        <v>2</v>
      </c>
      <c r="F58" s="33">
        <f t="shared" si="2"/>
        <v>0</v>
      </c>
    </row>
    <row r="59" spans="2:10">
      <c r="B59">
        <v>23</v>
      </c>
      <c r="C59" t="s">
        <v>61</v>
      </c>
      <c r="D59" t="s">
        <v>46</v>
      </c>
      <c r="E59" s="51">
        <v>1</v>
      </c>
      <c r="F59" s="33">
        <f t="shared" si="2"/>
        <v>0</v>
      </c>
    </row>
    <row r="60" spans="2:10">
      <c r="B60">
        <v>25</v>
      </c>
      <c r="C60" t="s">
        <v>64</v>
      </c>
      <c r="D60" t="s">
        <v>46</v>
      </c>
      <c r="E60" s="51">
        <v>2</v>
      </c>
      <c r="F60" s="33">
        <f t="shared" si="2"/>
        <v>0</v>
      </c>
    </row>
    <row r="61" spans="2:10">
      <c r="B61">
        <v>26</v>
      </c>
      <c r="C61" t="s">
        <v>58</v>
      </c>
      <c r="D61" t="s">
        <v>46</v>
      </c>
      <c r="E61" s="51">
        <v>2</v>
      </c>
      <c r="F61" s="33">
        <f t="shared" si="2"/>
        <v>0</v>
      </c>
    </row>
    <row r="62" spans="2:10">
      <c r="B62">
        <v>27</v>
      </c>
      <c r="C62" t="s">
        <v>59</v>
      </c>
      <c r="D62" t="s">
        <v>46</v>
      </c>
      <c r="E62" s="51">
        <v>2</v>
      </c>
      <c r="F62" s="33">
        <f t="shared" si="2"/>
        <v>0</v>
      </c>
    </row>
    <row r="63" spans="2:10">
      <c r="B63">
        <v>28</v>
      </c>
      <c r="C63" t="s">
        <v>60</v>
      </c>
      <c r="D63" t="s">
        <v>46</v>
      </c>
      <c r="E63" s="51">
        <v>1</v>
      </c>
      <c r="F63" s="33">
        <f t="shared" si="2"/>
        <v>0</v>
      </c>
    </row>
    <row r="64" spans="2:10">
      <c r="B64">
        <v>29</v>
      </c>
      <c r="C64" t="s">
        <v>57</v>
      </c>
      <c r="D64" t="s">
        <v>46</v>
      </c>
      <c r="E64" s="51">
        <v>1</v>
      </c>
      <c r="F64" s="33">
        <f t="shared" si="2"/>
        <v>0</v>
      </c>
    </row>
    <row r="65" spans="1:6">
      <c r="B65">
        <v>30</v>
      </c>
      <c r="C65" t="s">
        <v>61</v>
      </c>
      <c r="D65" t="s">
        <v>46</v>
      </c>
      <c r="E65" s="51">
        <v>5</v>
      </c>
      <c r="F65" s="33">
        <f t="shared" si="2"/>
        <v>0</v>
      </c>
    </row>
    <row r="66" spans="1:6">
      <c r="A66" t="s">
        <v>9</v>
      </c>
      <c r="B66">
        <v>1</v>
      </c>
      <c r="C66" t="s">
        <v>57</v>
      </c>
      <c r="D66" t="s">
        <v>47</v>
      </c>
      <c r="E66" s="51">
        <v>3</v>
      </c>
      <c r="F66" s="33">
        <f t="shared" si="2"/>
        <v>0</v>
      </c>
    </row>
    <row r="67" spans="1:6">
      <c r="B67">
        <v>5</v>
      </c>
      <c r="C67" t="s">
        <v>58</v>
      </c>
      <c r="D67" t="s">
        <v>47</v>
      </c>
      <c r="E67" s="51">
        <v>4</v>
      </c>
      <c r="F67" s="33">
        <f t="shared" si="2"/>
        <v>0</v>
      </c>
    </row>
    <row r="68" spans="1:6">
      <c r="B68">
        <v>6</v>
      </c>
      <c r="C68" t="s">
        <v>59</v>
      </c>
      <c r="D68" t="s">
        <v>47</v>
      </c>
      <c r="E68" s="51">
        <v>3</v>
      </c>
      <c r="F68" s="33">
        <f t="shared" si="2"/>
        <v>0</v>
      </c>
    </row>
    <row r="69" spans="1:6">
      <c r="B69">
        <v>7</v>
      </c>
      <c r="C69" t="s">
        <v>60</v>
      </c>
      <c r="D69" t="s">
        <v>47</v>
      </c>
      <c r="E69" s="51">
        <v>6</v>
      </c>
      <c r="F69" s="33">
        <f t="shared" si="2"/>
        <v>0</v>
      </c>
    </row>
    <row r="70" spans="1:6">
      <c r="B70">
        <v>8</v>
      </c>
      <c r="C70" t="s">
        <v>57</v>
      </c>
      <c r="D70" t="s">
        <v>47</v>
      </c>
      <c r="E70" s="51">
        <v>5</v>
      </c>
      <c r="F70" s="33">
        <f t="shared" ref="F70:F133" si="6">H70</f>
        <v>0</v>
      </c>
    </row>
    <row r="71" spans="1:6">
      <c r="B71">
        <v>9</v>
      </c>
      <c r="C71" t="s">
        <v>61</v>
      </c>
      <c r="D71" t="s">
        <v>47</v>
      </c>
      <c r="E71" s="51">
        <v>4</v>
      </c>
      <c r="F71" s="33">
        <f t="shared" si="6"/>
        <v>0</v>
      </c>
    </row>
    <row r="72" spans="1:6">
      <c r="B72">
        <v>12</v>
      </c>
      <c r="C72" t="s">
        <v>58</v>
      </c>
      <c r="D72" t="s">
        <v>47</v>
      </c>
      <c r="E72" s="51">
        <v>3</v>
      </c>
      <c r="F72" s="33">
        <f t="shared" si="6"/>
        <v>0</v>
      </c>
    </row>
    <row r="73" spans="1:6">
      <c r="B73">
        <v>13</v>
      </c>
      <c r="C73" t="s">
        <v>59</v>
      </c>
      <c r="D73" t="s">
        <v>47</v>
      </c>
      <c r="E73" s="51">
        <v>5</v>
      </c>
      <c r="F73" s="33">
        <f t="shared" si="6"/>
        <v>0</v>
      </c>
    </row>
    <row r="74" spans="1:6">
      <c r="B74">
        <v>14</v>
      </c>
      <c r="C74" t="s">
        <v>60</v>
      </c>
      <c r="D74" t="s">
        <v>47</v>
      </c>
      <c r="E74" s="51">
        <v>2</v>
      </c>
      <c r="F74" s="33">
        <f t="shared" si="6"/>
        <v>0</v>
      </c>
    </row>
    <row r="75" spans="1:6">
      <c r="B75">
        <v>15</v>
      </c>
      <c r="C75" t="s">
        <v>57</v>
      </c>
      <c r="D75" t="s">
        <v>47</v>
      </c>
      <c r="E75" s="51">
        <v>5</v>
      </c>
      <c r="F75" s="33">
        <f t="shared" si="6"/>
        <v>0</v>
      </c>
    </row>
    <row r="76" spans="1:6">
      <c r="B76">
        <v>16</v>
      </c>
      <c r="C76" t="s">
        <v>61</v>
      </c>
      <c r="D76" t="s">
        <v>47</v>
      </c>
      <c r="E76" s="51">
        <v>4</v>
      </c>
      <c r="F76" s="33">
        <f t="shared" si="6"/>
        <v>0</v>
      </c>
    </row>
    <row r="77" spans="1:6">
      <c r="B77">
        <v>19</v>
      </c>
      <c r="C77" t="s">
        <v>58</v>
      </c>
      <c r="D77" t="s">
        <v>47</v>
      </c>
      <c r="E77" s="51">
        <v>6</v>
      </c>
      <c r="F77" s="33">
        <f t="shared" si="6"/>
        <v>0</v>
      </c>
    </row>
    <row r="78" spans="1:6">
      <c r="B78">
        <v>20</v>
      </c>
      <c r="C78" t="s">
        <v>59</v>
      </c>
      <c r="D78" t="s">
        <v>47</v>
      </c>
      <c r="E78" s="51">
        <v>6</v>
      </c>
      <c r="F78" s="33">
        <f t="shared" si="6"/>
        <v>0</v>
      </c>
    </row>
    <row r="79" spans="1:6">
      <c r="B79">
        <v>22</v>
      </c>
      <c r="C79" t="s">
        <v>57</v>
      </c>
      <c r="D79" t="s">
        <v>47</v>
      </c>
      <c r="E79" s="51">
        <v>3</v>
      </c>
      <c r="F79" s="33">
        <f t="shared" si="6"/>
        <v>0</v>
      </c>
    </row>
    <row r="80" spans="1:6">
      <c r="B80">
        <v>23</v>
      </c>
      <c r="C80" t="s">
        <v>61</v>
      </c>
      <c r="D80" t="s">
        <v>47</v>
      </c>
      <c r="E80" s="51">
        <v>6</v>
      </c>
      <c r="F80" s="33">
        <f t="shared" si="6"/>
        <v>0</v>
      </c>
    </row>
    <row r="81" spans="1:6">
      <c r="B81">
        <v>26</v>
      </c>
      <c r="C81" t="s">
        <v>58</v>
      </c>
      <c r="D81" t="s">
        <v>47</v>
      </c>
      <c r="E81" s="51">
        <v>5</v>
      </c>
      <c r="F81" s="33">
        <f t="shared" si="6"/>
        <v>0</v>
      </c>
    </row>
    <row r="82" spans="1:6">
      <c r="B82">
        <v>27</v>
      </c>
      <c r="C82" t="s">
        <v>59</v>
      </c>
      <c r="D82" t="s">
        <v>47</v>
      </c>
      <c r="E82" s="51">
        <v>4</v>
      </c>
      <c r="F82" s="33">
        <f t="shared" si="6"/>
        <v>0</v>
      </c>
    </row>
    <row r="83" spans="1:6">
      <c r="B83">
        <v>28</v>
      </c>
      <c r="C83" t="s">
        <v>60</v>
      </c>
      <c r="D83" t="s">
        <v>47</v>
      </c>
      <c r="E83" s="51">
        <v>5</v>
      </c>
      <c r="F83" s="33">
        <f t="shared" si="6"/>
        <v>0</v>
      </c>
    </row>
    <row r="84" spans="1:6">
      <c r="B84">
        <v>29</v>
      </c>
      <c r="C84" t="s">
        <v>57</v>
      </c>
      <c r="D84" t="s">
        <v>47</v>
      </c>
      <c r="E84" s="51">
        <v>3</v>
      </c>
      <c r="F84" s="33">
        <f t="shared" si="6"/>
        <v>0</v>
      </c>
    </row>
    <row r="85" spans="1:6">
      <c r="B85">
        <v>30</v>
      </c>
      <c r="C85" t="s">
        <v>61</v>
      </c>
      <c r="D85" t="s">
        <v>47</v>
      </c>
      <c r="E85" s="51">
        <v>4</v>
      </c>
      <c r="F85" s="33">
        <f t="shared" si="6"/>
        <v>0</v>
      </c>
    </row>
    <row r="86" spans="1:6">
      <c r="A86" t="s">
        <v>28</v>
      </c>
      <c r="B86">
        <v>1</v>
      </c>
      <c r="C86" t="s">
        <v>57</v>
      </c>
      <c r="D86" t="s">
        <v>46</v>
      </c>
      <c r="E86" s="51">
        <v>6</v>
      </c>
      <c r="F86" s="33">
        <f t="shared" si="6"/>
        <v>0</v>
      </c>
    </row>
    <row r="87" spans="1:6">
      <c r="B87">
        <v>2</v>
      </c>
      <c r="C87" t="s">
        <v>61</v>
      </c>
      <c r="D87" t="s">
        <v>46</v>
      </c>
      <c r="E87" s="51">
        <v>2</v>
      </c>
      <c r="F87" s="33">
        <f t="shared" si="6"/>
        <v>0</v>
      </c>
    </row>
    <row r="88" spans="1:6">
      <c r="B88">
        <v>6</v>
      </c>
      <c r="C88" t="s">
        <v>59</v>
      </c>
      <c r="D88" t="s">
        <v>46</v>
      </c>
      <c r="E88" s="51">
        <v>1</v>
      </c>
      <c r="F88" s="33">
        <f t="shared" si="6"/>
        <v>0</v>
      </c>
    </row>
    <row r="89" spans="1:6">
      <c r="B89">
        <v>7</v>
      </c>
      <c r="C89" t="s">
        <v>60</v>
      </c>
      <c r="D89" t="s">
        <v>46</v>
      </c>
      <c r="E89" s="51">
        <v>2</v>
      </c>
      <c r="F89" s="33">
        <f t="shared" si="6"/>
        <v>0</v>
      </c>
    </row>
    <row r="90" spans="1:6">
      <c r="B90">
        <v>8</v>
      </c>
      <c r="C90" t="s">
        <v>57</v>
      </c>
      <c r="D90" t="s">
        <v>46</v>
      </c>
      <c r="E90" s="51">
        <v>5</v>
      </c>
      <c r="F90" s="33">
        <f t="shared" si="6"/>
        <v>0</v>
      </c>
    </row>
    <row r="91" spans="1:6">
      <c r="B91">
        <v>9</v>
      </c>
      <c r="C91" t="s">
        <v>61</v>
      </c>
      <c r="D91" t="s">
        <v>46</v>
      </c>
      <c r="E91" s="51">
        <v>3</v>
      </c>
      <c r="F91" s="33">
        <f t="shared" si="6"/>
        <v>0</v>
      </c>
    </row>
    <row r="92" spans="1:6">
      <c r="B92">
        <v>10</v>
      </c>
      <c r="C92" t="s">
        <v>64</v>
      </c>
      <c r="D92" t="s">
        <v>46</v>
      </c>
      <c r="E92" s="51">
        <v>6</v>
      </c>
      <c r="F92" s="33">
        <f t="shared" si="6"/>
        <v>0</v>
      </c>
    </row>
    <row r="93" spans="1:6">
      <c r="B93">
        <v>11</v>
      </c>
      <c r="C93" t="s">
        <v>64</v>
      </c>
      <c r="D93" t="s">
        <v>46</v>
      </c>
      <c r="E93" s="51">
        <v>4</v>
      </c>
      <c r="F93" s="33">
        <f t="shared" si="6"/>
        <v>0</v>
      </c>
    </row>
    <row r="94" spans="1:6">
      <c r="B94">
        <v>15</v>
      </c>
      <c r="C94" t="s">
        <v>57</v>
      </c>
      <c r="D94" t="s">
        <v>46</v>
      </c>
      <c r="E94" s="51">
        <v>4</v>
      </c>
      <c r="F94" s="33">
        <f t="shared" si="6"/>
        <v>0</v>
      </c>
    </row>
    <row r="95" spans="1:6">
      <c r="B95">
        <v>16</v>
      </c>
      <c r="C95" t="s">
        <v>61</v>
      </c>
      <c r="D95" t="s">
        <v>46</v>
      </c>
      <c r="E95" s="51">
        <v>3</v>
      </c>
      <c r="F95" s="33">
        <f t="shared" si="6"/>
        <v>0</v>
      </c>
    </row>
    <row r="96" spans="1:6">
      <c r="B96">
        <v>17</v>
      </c>
      <c r="C96" t="s">
        <v>64</v>
      </c>
      <c r="D96" t="s">
        <v>46</v>
      </c>
      <c r="E96" s="51">
        <v>3</v>
      </c>
      <c r="F96" s="33">
        <f t="shared" si="6"/>
        <v>0</v>
      </c>
    </row>
    <row r="97" spans="1:6">
      <c r="B97">
        <v>18</v>
      </c>
      <c r="C97" t="s">
        <v>64</v>
      </c>
      <c r="D97" t="s">
        <v>46</v>
      </c>
      <c r="E97" s="51">
        <v>6</v>
      </c>
      <c r="F97" s="33">
        <f t="shared" si="6"/>
        <v>0</v>
      </c>
    </row>
    <row r="98" spans="1:6">
      <c r="B98">
        <v>19</v>
      </c>
      <c r="C98" t="s">
        <v>58</v>
      </c>
      <c r="D98" t="s">
        <v>46</v>
      </c>
      <c r="E98" s="51">
        <v>3</v>
      </c>
      <c r="F98" s="33">
        <f t="shared" si="6"/>
        <v>0</v>
      </c>
    </row>
    <row r="99" spans="1:6">
      <c r="B99">
        <v>20</v>
      </c>
      <c r="C99" t="s">
        <v>59</v>
      </c>
      <c r="D99" t="s">
        <v>46</v>
      </c>
      <c r="E99" s="51">
        <v>1</v>
      </c>
      <c r="F99" s="33">
        <f t="shared" si="6"/>
        <v>0</v>
      </c>
    </row>
    <row r="100" spans="1:6">
      <c r="B100">
        <v>24</v>
      </c>
      <c r="C100" t="s">
        <v>64</v>
      </c>
      <c r="D100" t="s">
        <v>46</v>
      </c>
      <c r="E100" s="51">
        <v>3</v>
      </c>
      <c r="F100" s="33">
        <f t="shared" si="6"/>
        <v>0</v>
      </c>
    </row>
    <row r="101" spans="1:6">
      <c r="B101">
        <v>25</v>
      </c>
      <c r="C101" t="s">
        <v>64</v>
      </c>
      <c r="D101" t="s">
        <v>46</v>
      </c>
      <c r="E101" s="51">
        <v>2</v>
      </c>
      <c r="F101" s="33">
        <f t="shared" si="6"/>
        <v>0</v>
      </c>
    </row>
    <row r="102" spans="1:6">
      <c r="B102">
        <v>26</v>
      </c>
      <c r="C102" t="s">
        <v>58</v>
      </c>
      <c r="D102" t="s">
        <v>46</v>
      </c>
      <c r="E102" s="51">
        <v>1</v>
      </c>
      <c r="F102" s="33">
        <f t="shared" si="6"/>
        <v>0</v>
      </c>
    </row>
    <row r="103" spans="1:6">
      <c r="B103">
        <v>27</v>
      </c>
      <c r="C103" t="s">
        <v>59</v>
      </c>
      <c r="D103" t="s">
        <v>46</v>
      </c>
      <c r="E103" s="51">
        <v>1</v>
      </c>
      <c r="F103" s="33">
        <f t="shared" si="6"/>
        <v>0</v>
      </c>
    </row>
    <row r="104" spans="1:6">
      <c r="B104">
        <v>28</v>
      </c>
      <c r="C104" t="s">
        <v>60</v>
      </c>
      <c r="D104" t="s">
        <v>46</v>
      </c>
      <c r="E104" s="51">
        <v>2</v>
      </c>
      <c r="F104" s="33">
        <f t="shared" si="6"/>
        <v>0</v>
      </c>
    </row>
    <row r="105" spans="1:6">
      <c r="B105">
        <v>29</v>
      </c>
      <c r="C105" t="s">
        <v>57</v>
      </c>
      <c r="D105" t="s">
        <v>46</v>
      </c>
      <c r="E105" s="51">
        <v>1</v>
      </c>
      <c r="F105" s="33">
        <f t="shared" si="6"/>
        <v>0</v>
      </c>
    </row>
    <row r="106" spans="1:6">
      <c r="B106">
        <v>30</v>
      </c>
      <c r="C106" t="s">
        <v>61</v>
      </c>
      <c r="D106" t="s">
        <v>46</v>
      </c>
      <c r="E106" s="51">
        <v>2</v>
      </c>
      <c r="F106" s="33">
        <f t="shared" si="6"/>
        <v>0</v>
      </c>
    </row>
    <row r="107" spans="1:6">
      <c r="A107" t="s">
        <v>24</v>
      </c>
      <c r="B107">
        <v>1</v>
      </c>
      <c r="C107" t="s">
        <v>57</v>
      </c>
      <c r="D107" t="s">
        <v>47</v>
      </c>
      <c r="E107" s="51">
        <v>3</v>
      </c>
      <c r="F107" s="33">
        <f t="shared" si="6"/>
        <v>0</v>
      </c>
    </row>
    <row r="108" spans="1:6">
      <c r="B108">
        <v>5</v>
      </c>
      <c r="C108" t="s">
        <v>58</v>
      </c>
      <c r="D108" t="s">
        <v>47</v>
      </c>
      <c r="E108" s="51">
        <v>4</v>
      </c>
      <c r="F108" s="33">
        <f t="shared" si="6"/>
        <v>0</v>
      </c>
    </row>
    <row r="109" spans="1:6">
      <c r="B109">
        <v>6</v>
      </c>
      <c r="C109" t="s">
        <v>59</v>
      </c>
      <c r="D109" t="s">
        <v>47</v>
      </c>
      <c r="E109" s="51">
        <v>3</v>
      </c>
      <c r="F109" s="33">
        <f t="shared" si="6"/>
        <v>0</v>
      </c>
    </row>
    <row r="110" spans="1:6">
      <c r="B110">
        <v>7</v>
      </c>
      <c r="C110" t="s">
        <v>60</v>
      </c>
      <c r="D110" t="s">
        <v>47</v>
      </c>
      <c r="E110" s="51">
        <v>5</v>
      </c>
      <c r="F110" s="33">
        <f t="shared" si="6"/>
        <v>0</v>
      </c>
    </row>
    <row r="111" spans="1:6">
      <c r="B111">
        <v>8</v>
      </c>
      <c r="C111" t="s">
        <v>57</v>
      </c>
      <c r="D111" t="s">
        <v>47</v>
      </c>
      <c r="E111" s="51">
        <v>5</v>
      </c>
      <c r="F111" s="33">
        <f t="shared" si="6"/>
        <v>0</v>
      </c>
    </row>
    <row r="112" spans="1:6">
      <c r="B112">
        <v>9</v>
      </c>
      <c r="C112" t="s">
        <v>61</v>
      </c>
      <c r="D112" t="s">
        <v>47</v>
      </c>
      <c r="E112" s="51">
        <v>5</v>
      </c>
      <c r="F112" s="33">
        <f t="shared" si="6"/>
        <v>0</v>
      </c>
    </row>
    <row r="113" spans="1:6">
      <c r="B113">
        <v>10</v>
      </c>
      <c r="C113" t="s">
        <v>64</v>
      </c>
      <c r="D113" t="s">
        <v>47</v>
      </c>
      <c r="E113" s="51">
        <v>2</v>
      </c>
      <c r="F113" s="33">
        <f t="shared" si="6"/>
        <v>0</v>
      </c>
    </row>
    <row r="114" spans="1:6">
      <c r="B114">
        <v>12</v>
      </c>
      <c r="C114" t="s">
        <v>58</v>
      </c>
      <c r="D114" t="s">
        <v>47</v>
      </c>
      <c r="E114" s="51">
        <v>2</v>
      </c>
      <c r="F114" s="33">
        <f t="shared" si="6"/>
        <v>0</v>
      </c>
    </row>
    <row r="115" spans="1:6">
      <c r="B115">
        <v>13</v>
      </c>
      <c r="C115" t="s">
        <v>59</v>
      </c>
      <c r="D115" t="s">
        <v>47</v>
      </c>
      <c r="E115" s="51">
        <v>3</v>
      </c>
      <c r="F115" s="33">
        <f t="shared" si="6"/>
        <v>0</v>
      </c>
    </row>
    <row r="116" spans="1:6">
      <c r="B116">
        <v>14</v>
      </c>
      <c r="C116" t="s">
        <v>60</v>
      </c>
      <c r="D116" t="s">
        <v>47</v>
      </c>
      <c r="E116" s="51">
        <v>4</v>
      </c>
      <c r="F116" s="33">
        <f t="shared" si="6"/>
        <v>0</v>
      </c>
    </row>
    <row r="117" spans="1:6">
      <c r="B117">
        <v>15</v>
      </c>
      <c r="C117" t="s">
        <v>57</v>
      </c>
      <c r="D117" t="s">
        <v>47</v>
      </c>
      <c r="E117" s="51">
        <v>4</v>
      </c>
      <c r="F117" s="33">
        <f t="shared" si="6"/>
        <v>0</v>
      </c>
    </row>
    <row r="118" spans="1:6">
      <c r="B118">
        <v>16</v>
      </c>
      <c r="C118" t="s">
        <v>61</v>
      </c>
      <c r="D118" t="s">
        <v>47</v>
      </c>
      <c r="E118" s="51">
        <v>4</v>
      </c>
      <c r="F118" s="33">
        <f t="shared" si="6"/>
        <v>0</v>
      </c>
    </row>
    <row r="119" spans="1:6">
      <c r="B119">
        <v>19</v>
      </c>
      <c r="C119" t="s">
        <v>58</v>
      </c>
      <c r="D119" t="s">
        <v>47</v>
      </c>
      <c r="E119" s="51">
        <v>1</v>
      </c>
      <c r="F119" s="33">
        <f t="shared" si="6"/>
        <v>0</v>
      </c>
    </row>
    <row r="120" spans="1:6">
      <c r="B120">
        <v>20</v>
      </c>
      <c r="C120" t="s">
        <v>59</v>
      </c>
      <c r="D120" t="s">
        <v>47</v>
      </c>
      <c r="E120" s="51">
        <v>3</v>
      </c>
      <c r="F120" s="33">
        <f t="shared" si="6"/>
        <v>0</v>
      </c>
    </row>
    <row r="121" spans="1:6">
      <c r="B121">
        <v>22</v>
      </c>
      <c r="C121" t="s">
        <v>57</v>
      </c>
      <c r="D121" t="s">
        <v>47</v>
      </c>
      <c r="E121" s="51">
        <v>1</v>
      </c>
      <c r="F121" s="33">
        <f t="shared" si="6"/>
        <v>0</v>
      </c>
    </row>
    <row r="122" spans="1:6">
      <c r="B122">
        <v>23</v>
      </c>
      <c r="C122" t="s">
        <v>61</v>
      </c>
      <c r="D122" t="s">
        <v>47</v>
      </c>
      <c r="E122" s="51">
        <v>2</v>
      </c>
      <c r="F122" s="33">
        <f t="shared" si="6"/>
        <v>0</v>
      </c>
    </row>
    <row r="123" spans="1:6">
      <c r="B123">
        <v>26</v>
      </c>
      <c r="C123" t="s">
        <v>58</v>
      </c>
      <c r="D123" t="s">
        <v>47</v>
      </c>
      <c r="E123" s="51">
        <v>4</v>
      </c>
      <c r="F123" s="33">
        <f t="shared" si="6"/>
        <v>0</v>
      </c>
    </row>
    <row r="124" spans="1:6">
      <c r="B124">
        <v>27</v>
      </c>
      <c r="C124" t="s">
        <v>59</v>
      </c>
      <c r="D124" t="s">
        <v>47</v>
      </c>
      <c r="E124" s="51">
        <v>2</v>
      </c>
      <c r="F124" s="33">
        <f t="shared" si="6"/>
        <v>0</v>
      </c>
    </row>
    <row r="125" spans="1:6">
      <c r="B125">
        <v>28</v>
      </c>
      <c r="C125" t="s">
        <v>60</v>
      </c>
      <c r="D125" t="s">
        <v>47</v>
      </c>
      <c r="E125" s="51">
        <v>3</v>
      </c>
      <c r="F125" s="33">
        <f t="shared" si="6"/>
        <v>0</v>
      </c>
    </row>
    <row r="126" spans="1:6">
      <c r="B126">
        <v>29</v>
      </c>
      <c r="C126" t="s">
        <v>57</v>
      </c>
      <c r="D126" t="s">
        <v>47</v>
      </c>
      <c r="E126" s="51">
        <v>3</v>
      </c>
      <c r="F126" s="33">
        <f t="shared" si="6"/>
        <v>0</v>
      </c>
    </row>
    <row r="127" spans="1:6">
      <c r="B127">
        <v>30</v>
      </c>
      <c r="C127" t="s">
        <v>61</v>
      </c>
      <c r="D127" t="s">
        <v>47</v>
      </c>
      <c r="E127" s="51">
        <v>8</v>
      </c>
      <c r="F127" s="33">
        <f t="shared" si="6"/>
        <v>0</v>
      </c>
    </row>
    <row r="128" spans="1:6">
      <c r="A128" t="s">
        <v>19</v>
      </c>
      <c r="B128">
        <v>1</v>
      </c>
      <c r="C128" t="s">
        <v>57</v>
      </c>
      <c r="D128" t="s">
        <v>46</v>
      </c>
      <c r="E128" s="51">
        <v>4</v>
      </c>
      <c r="F128" s="33">
        <f t="shared" si="6"/>
        <v>0</v>
      </c>
    </row>
    <row r="129" spans="2:6">
      <c r="B129">
        <v>5</v>
      </c>
      <c r="C129" t="s">
        <v>58</v>
      </c>
      <c r="D129" t="s">
        <v>46</v>
      </c>
      <c r="E129" s="51">
        <v>2</v>
      </c>
      <c r="F129" s="33">
        <f t="shared" si="6"/>
        <v>0</v>
      </c>
    </row>
    <row r="130" spans="2:6">
      <c r="B130">
        <v>6</v>
      </c>
      <c r="C130" t="s">
        <v>59</v>
      </c>
      <c r="D130" t="s">
        <v>46</v>
      </c>
      <c r="E130" s="51">
        <v>2</v>
      </c>
      <c r="F130" s="33">
        <f t="shared" si="6"/>
        <v>0</v>
      </c>
    </row>
    <row r="131" spans="2:6">
      <c r="B131">
        <v>7</v>
      </c>
      <c r="C131" t="s">
        <v>60</v>
      </c>
      <c r="D131" t="s">
        <v>46</v>
      </c>
      <c r="E131" s="51">
        <v>1</v>
      </c>
      <c r="F131" s="33">
        <f t="shared" si="6"/>
        <v>0</v>
      </c>
    </row>
    <row r="132" spans="2:6">
      <c r="B132">
        <v>8</v>
      </c>
      <c r="C132" t="s">
        <v>57</v>
      </c>
      <c r="D132" t="s">
        <v>46</v>
      </c>
      <c r="E132" s="51">
        <v>2</v>
      </c>
      <c r="F132" s="33">
        <f t="shared" si="6"/>
        <v>0</v>
      </c>
    </row>
    <row r="133" spans="2:6">
      <c r="B133">
        <v>9</v>
      </c>
      <c r="C133" t="s">
        <v>61</v>
      </c>
      <c r="D133" t="s">
        <v>46</v>
      </c>
      <c r="E133" s="51">
        <v>2</v>
      </c>
      <c r="F133" s="33">
        <f t="shared" si="6"/>
        <v>0</v>
      </c>
    </row>
    <row r="134" spans="2:6">
      <c r="B134">
        <v>12</v>
      </c>
      <c r="C134" t="s">
        <v>58</v>
      </c>
      <c r="D134" t="s">
        <v>46</v>
      </c>
      <c r="E134" s="51">
        <v>1</v>
      </c>
      <c r="F134" s="33">
        <f t="shared" ref="F134:F197" si="7">H134</f>
        <v>0</v>
      </c>
    </row>
    <row r="135" spans="2:6">
      <c r="B135">
        <v>13</v>
      </c>
      <c r="C135" t="s">
        <v>59</v>
      </c>
      <c r="D135" t="s">
        <v>46</v>
      </c>
      <c r="E135" s="51">
        <v>3</v>
      </c>
      <c r="F135" s="33">
        <f t="shared" si="7"/>
        <v>0</v>
      </c>
    </row>
    <row r="136" spans="2:6">
      <c r="B136">
        <v>14</v>
      </c>
      <c r="C136" t="s">
        <v>60</v>
      </c>
      <c r="D136" t="s">
        <v>46</v>
      </c>
      <c r="E136" s="51">
        <v>4</v>
      </c>
      <c r="F136" s="33">
        <f t="shared" si="7"/>
        <v>0</v>
      </c>
    </row>
    <row r="137" spans="2:6">
      <c r="B137">
        <v>15</v>
      </c>
      <c r="C137" t="s">
        <v>57</v>
      </c>
      <c r="D137" t="s">
        <v>46</v>
      </c>
      <c r="E137" s="51">
        <v>1</v>
      </c>
      <c r="F137" s="33">
        <f t="shared" si="7"/>
        <v>0</v>
      </c>
    </row>
    <row r="138" spans="2:6">
      <c r="B138">
        <v>16</v>
      </c>
      <c r="C138" t="s">
        <v>61</v>
      </c>
      <c r="D138" t="s">
        <v>46</v>
      </c>
      <c r="E138" s="51">
        <v>6</v>
      </c>
      <c r="F138" s="33">
        <f t="shared" si="7"/>
        <v>0</v>
      </c>
    </row>
    <row r="139" spans="2:6">
      <c r="B139">
        <v>19</v>
      </c>
      <c r="C139" t="s">
        <v>58</v>
      </c>
      <c r="D139" t="s">
        <v>46</v>
      </c>
      <c r="E139" s="51">
        <v>2</v>
      </c>
      <c r="F139" s="33">
        <f t="shared" si="7"/>
        <v>0</v>
      </c>
    </row>
    <row r="140" spans="2:6">
      <c r="B140">
        <v>20</v>
      </c>
      <c r="C140" t="s">
        <v>59</v>
      </c>
      <c r="D140" t="s">
        <v>46</v>
      </c>
      <c r="E140" s="51">
        <v>3</v>
      </c>
      <c r="F140" s="33">
        <f t="shared" si="7"/>
        <v>0</v>
      </c>
    </row>
    <row r="141" spans="2:6">
      <c r="B141">
        <v>22</v>
      </c>
      <c r="C141" t="s">
        <v>57</v>
      </c>
      <c r="D141" t="s">
        <v>46</v>
      </c>
      <c r="E141" s="51">
        <v>1</v>
      </c>
      <c r="F141" s="33">
        <f t="shared" si="7"/>
        <v>0</v>
      </c>
    </row>
    <row r="142" spans="2:6">
      <c r="B142">
        <v>23</v>
      </c>
      <c r="C142" t="s">
        <v>61</v>
      </c>
      <c r="D142" t="s">
        <v>46</v>
      </c>
      <c r="E142" s="51">
        <v>2</v>
      </c>
      <c r="F142" s="33">
        <f t="shared" si="7"/>
        <v>0</v>
      </c>
    </row>
    <row r="143" spans="2:6">
      <c r="B143">
        <v>26</v>
      </c>
      <c r="C143" t="s">
        <v>58</v>
      </c>
      <c r="D143" t="s">
        <v>46</v>
      </c>
      <c r="E143" s="51">
        <v>3</v>
      </c>
      <c r="F143" s="33">
        <f t="shared" si="7"/>
        <v>0</v>
      </c>
    </row>
    <row r="144" spans="2:6">
      <c r="B144">
        <v>27</v>
      </c>
      <c r="C144" t="s">
        <v>59</v>
      </c>
      <c r="D144" t="s">
        <v>46</v>
      </c>
      <c r="E144" s="51">
        <v>1</v>
      </c>
      <c r="F144" s="33">
        <f t="shared" si="7"/>
        <v>0</v>
      </c>
    </row>
    <row r="145" spans="1:6">
      <c r="B145">
        <v>28</v>
      </c>
      <c r="C145" t="s">
        <v>60</v>
      </c>
      <c r="D145" t="s">
        <v>46</v>
      </c>
      <c r="E145" s="51">
        <v>1</v>
      </c>
      <c r="F145" s="33">
        <f t="shared" si="7"/>
        <v>0</v>
      </c>
    </row>
    <row r="146" spans="1:6">
      <c r="B146">
        <v>29</v>
      </c>
      <c r="C146" t="s">
        <v>57</v>
      </c>
      <c r="D146" t="s">
        <v>46</v>
      </c>
      <c r="E146" s="51">
        <v>1</v>
      </c>
      <c r="F146" s="33">
        <f t="shared" si="7"/>
        <v>0</v>
      </c>
    </row>
    <row r="147" spans="1:6">
      <c r="B147">
        <v>30</v>
      </c>
      <c r="C147" t="s">
        <v>61</v>
      </c>
      <c r="D147" t="s">
        <v>46</v>
      </c>
      <c r="E147" s="51">
        <v>4</v>
      </c>
      <c r="F147" s="33">
        <f t="shared" si="7"/>
        <v>0</v>
      </c>
    </row>
    <row r="148" spans="1:6">
      <c r="A148" t="s">
        <v>18</v>
      </c>
      <c r="B148">
        <v>1</v>
      </c>
      <c r="C148" t="s">
        <v>57</v>
      </c>
      <c r="D148" t="s">
        <v>46</v>
      </c>
      <c r="E148" s="51">
        <v>1</v>
      </c>
      <c r="F148" s="33">
        <f t="shared" si="7"/>
        <v>0</v>
      </c>
    </row>
    <row r="149" spans="1:6">
      <c r="B149">
        <v>5</v>
      </c>
      <c r="C149" t="s">
        <v>58</v>
      </c>
      <c r="D149" t="s">
        <v>46</v>
      </c>
      <c r="E149" s="51">
        <v>2</v>
      </c>
      <c r="F149" s="33">
        <f t="shared" si="7"/>
        <v>0</v>
      </c>
    </row>
    <row r="150" spans="1:6">
      <c r="B150">
        <v>6</v>
      </c>
      <c r="C150" t="s">
        <v>59</v>
      </c>
      <c r="D150" t="s">
        <v>46</v>
      </c>
      <c r="E150" s="51">
        <v>2</v>
      </c>
      <c r="F150" s="33">
        <f t="shared" si="7"/>
        <v>0</v>
      </c>
    </row>
    <row r="151" spans="1:6">
      <c r="B151">
        <v>7</v>
      </c>
      <c r="C151" t="s">
        <v>60</v>
      </c>
      <c r="D151" t="s">
        <v>46</v>
      </c>
      <c r="E151" s="51">
        <v>2</v>
      </c>
      <c r="F151" s="33">
        <f t="shared" si="7"/>
        <v>0</v>
      </c>
    </row>
    <row r="152" spans="1:6">
      <c r="B152">
        <v>8</v>
      </c>
      <c r="C152" t="s">
        <v>57</v>
      </c>
      <c r="D152" t="s">
        <v>46</v>
      </c>
      <c r="E152" s="51">
        <v>1</v>
      </c>
      <c r="F152" s="33">
        <f t="shared" si="7"/>
        <v>0</v>
      </c>
    </row>
    <row r="153" spans="1:6">
      <c r="B153">
        <v>9</v>
      </c>
      <c r="C153" t="s">
        <v>61</v>
      </c>
      <c r="D153" t="s">
        <v>46</v>
      </c>
      <c r="E153" s="51">
        <v>1</v>
      </c>
      <c r="F153" s="33">
        <f t="shared" si="7"/>
        <v>0</v>
      </c>
    </row>
    <row r="154" spans="1:6">
      <c r="B154">
        <v>10</v>
      </c>
      <c r="C154" t="s">
        <v>64</v>
      </c>
      <c r="D154" t="s">
        <v>46</v>
      </c>
      <c r="E154" s="51">
        <v>2</v>
      </c>
      <c r="F154" s="33">
        <f t="shared" si="7"/>
        <v>0</v>
      </c>
    </row>
    <row r="155" spans="1:6">
      <c r="B155">
        <v>12</v>
      </c>
      <c r="C155" t="s">
        <v>58</v>
      </c>
      <c r="D155" t="s">
        <v>46</v>
      </c>
      <c r="E155" s="51">
        <v>2</v>
      </c>
      <c r="F155" s="33">
        <f t="shared" si="7"/>
        <v>0</v>
      </c>
    </row>
    <row r="156" spans="1:6">
      <c r="B156">
        <v>13</v>
      </c>
      <c r="C156" t="s">
        <v>59</v>
      </c>
      <c r="D156" t="s">
        <v>46</v>
      </c>
      <c r="E156" s="51">
        <v>2</v>
      </c>
      <c r="F156" s="33">
        <f t="shared" si="7"/>
        <v>0</v>
      </c>
    </row>
    <row r="157" spans="1:6">
      <c r="B157">
        <v>14</v>
      </c>
      <c r="C157" t="s">
        <v>60</v>
      </c>
      <c r="D157" t="s">
        <v>46</v>
      </c>
      <c r="E157" s="51">
        <v>2</v>
      </c>
      <c r="F157" s="33">
        <f t="shared" si="7"/>
        <v>0</v>
      </c>
    </row>
    <row r="158" spans="1:6">
      <c r="B158">
        <v>15</v>
      </c>
      <c r="C158" t="s">
        <v>57</v>
      </c>
      <c r="D158" t="s">
        <v>46</v>
      </c>
      <c r="E158" s="51">
        <v>3</v>
      </c>
      <c r="F158" s="33">
        <f t="shared" si="7"/>
        <v>0</v>
      </c>
    </row>
    <row r="159" spans="1:6">
      <c r="B159">
        <v>16</v>
      </c>
      <c r="C159" t="s">
        <v>61</v>
      </c>
      <c r="D159" t="s">
        <v>46</v>
      </c>
      <c r="E159" s="51">
        <v>4</v>
      </c>
      <c r="F159" s="33">
        <f t="shared" si="7"/>
        <v>0</v>
      </c>
    </row>
    <row r="160" spans="1:6">
      <c r="B160">
        <v>19</v>
      </c>
      <c r="C160" t="s">
        <v>58</v>
      </c>
      <c r="D160" t="s">
        <v>46</v>
      </c>
      <c r="E160" s="51">
        <v>3</v>
      </c>
      <c r="F160" s="33">
        <f t="shared" si="7"/>
        <v>0</v>
      </c>
    </row>
    <row r="161" spans="1:6">
      <c r="B161">
        <v>20</v>
      </c>
      <c r="C161" t="s">
        <v>59</v>
      </c>
      <c r="D161" t="s">
        <v>46</v>
      </c>
      <c r="E161" s="51">
        <v>2</v>
      </c>
      <c r="F161" s="33">
        <f t="shared" si="7"/>
        <v>0</v>
      </c>
    </row>
    <row r="162" spans="1:6">
      <c r="B162">
        <v>21</v>
      </c>
      <c r="C162" t="s">
        <v>60</v>
      </c>
      <c r="D162" t="s">
        <v>46</v>
      </c>
      <c r="E162" s="51">
        <v>1</v>
      </c>
      <c r="F162" s="33">
        <f t="shared" si="7"/>
        <v>0</v>
      </c>
    </row>
    <row r="163" spans="1:6">
      <c r="B163">
        <v>22</v>
      </c>
      <c r="C163" t="s">
        <v>57</v>
      </c>
      <c r="D163" t="s">
        <v>46</v>
      </c>
      <c r="E163" s="51">
        <v>3</v>
      </c>
      <c r="F163" s="33">
        <f t="shared" si="7"/>
        <v>0</v>
      </c>
    </row>
    <row r="164" spans="1:6">
      <c r="B164">
        <v>23</v>
      </c>
      <c r="C164" t="s">
        <v>61</v>
      </c>
      <c r="D164" t="s">
        <v>46</v>
      </c>
      <c r="E164" s="51">
        <v>3</v>
      </c>
      <c r="F164" s="33">
        <f t="shared" si="7"/>
        <v>0</v>
      </c>
    </row>
    <row r="165" spans="1:6">
      <c r="B165">
        <v>25</v>
      </c>
      <c r="C165" t="s">
        <v>64</v>
      </c>
      <c r="D165" t="s">
        <v>46</v>
      </c>
      <c r="E165" s="51">
        <v>1</v>
      </c>
      <c r="F165" s="33">
        <f t="shared" si="7"/>
        <v>0</v>
      </c>
    </row>
    <row r="166" spans="1:6">
      <c r="B166">
        <v>26</v>
      </c>
      <c r="C166" t="s">
        <v>58</v>
      </c>
      <c r="D166" t="s">
        <v>46</v>
      </c>
      <c r="E166" s="51">
        <v>1</v>
      </c>
      <c r="F166" s="33">
        <f t="shared" si="7"/>
        <v>0</v>
      </c>
    </row>
    <row r="167" spans="1:6">
      <c r="B167">
        <v>27</v>
      </c>
      <c r="C167" t="s">
        <v>59</v>
      </c>
      <c r="D167" t="s">
        <v>46</v>
      </c>
      <c r="E167" s="51">
        <v>4</v>
      </c>
      <c r="F167" s="33">
        <f t="shared" si="7"/>
        <v>0</v>
      </c>
    </row>
    <row r="168" spans="1:6">
      <c r="B168">
        <v>28</v>
      </c>
      <c r="C168" t="s">
        <v>60</v>
      </c>
      <c r="D168" t="s">
        <v>46</v>
      </c>
      <c r="E168" s="51">
        <v>2</v>
      </c>
      <c r="F168" s="33">
        <f t="shared" si="7"/>
        <v>0</v>
      </c>
    </row>
    <row r="169" spans="1:6">
      <c r="B169">
        <v>29</v>
      </c>
      <c r="C169" t="s">
        <v>57</v>
      </c>
      <c r="D169" t="s">
        <v>46</v>
      </c>
      <c r="E169" s="51">
        <v>1</v>
      </c>
      <c r="F169" s="33">
        <f t="shared" si="7"/>
        <v>0</v>
      </c>
    </row>
    <row r="170" spans="1:6">
      <c r="B170">
        <v>30</v>
      </c>
      <c r="C170" t="s">
        <v>61</v>
      </c>
      <c r="D170" t="s">
        <v>46</v>
      </c>
      <c r="E170" s="51">
        <v>2</v>
      </c>
      <c r="F170" s="33">
        <f t="shared" si="7"/>
        <v>0</v>
      </c>
    </row>
    <row r="171" spans="1:6">
      <c r="A171" t="s">
        <v>44</v>
      </c>
      <c r="B171">
        <v>5</v>
      </c>
      <c r="C171" t="s">
        <v>58</v>
      </c>
      <c r="D171" t="s">
        <v>46</v>
      </c>
      <c r="E171" s="51">
        <v>2</v>
      </c>
      <c r="F171" s="33">
        <f t="shared" si="7"/>
        <v>0</v>
      </c>
    </row>
    <row r="172" spans="1:6">
      <c r="B172">
        <v>6</v>
      </c>
      <c r="C172" t="s">
        <v>59</v>
      </c>
      <c r="D172" t="s">
        <v>46</v>
      </c>
      <c r="E172" s="51">
        <v>1</v>
      </c>
      <c r="F172" s="33">
        <f t="shared" si="7"/>
        <v>0</v>
      </c>
    </row>
    <row r="173" spans="1:6">
      <c r="B173">
        <v>7</v>
      </c>
      <c r="C173" t="s">
        <v>60</v>
      </c>
      <c r="D173" t="s">
        <v>46</v>
      </c>
      <c r="E173" s="51">
        <v>2</v>
      </c>
      <c r="F173" s="33">
        <f t="shared" si="7"/>
        <v>0</v>
      </c>
    </row>
    <row r="174" spans="1:6">
      <c r="B174">
        <v>8</v>
      </c>
      <c r="C174" t="s">
        <v>57</v>
      </c>
      <c r="D174" t="s">
        <v>46</v>
      </c>
      <c r="E174" s="51">
        <v>3</v>
      </c>
      <c r="F174" s="33">
        <f t="shared" si="7"/>
        <v>0</v>
      </c>
    </row>
    <row r="175" spans="1:6">
      <c r="B175">
        <v>9</v>
      </c>
      <c r="C175" t="s">
        <v>61</v>
      </c>
      <c r="D175" t="s">
        <v>46</v>
      </c>
      <c r="E175" s="51">
        <v>3</v>
      </c>
      <c r="F175" s="33">
        <f t="shared" si="7"/>
        <v>0</v>
      </c>
    </row>
    <row r="176" spans="1:6">
      <c r="B176">
        <v>11</v>
      </c>
      <c r="C176" t="s">
        <v>64</v>
      </c>
      <c r="D176" t="s">
        <v>46</v>
      </c>
      <c r="E176" s="51">
        <v>2</v>
      </c>
      <c r="F176" s="33">
        <f t="shared" si="7"/>
        <v>0</v>
      </c>
    </row>
    <row r="177" spans="1:6">
      <c r="B177">
        <v>12</v>
      </c>
      <c r="C177" t="s">
        <v>58</v>
      </c>
      <c r="D177" t="s">
        <v>46</v>
      </c>
      <c r="E177" s="51">
        <v>2</v>
      </c>
      <c r="F177" s="33">
        <f t="shared" si="7"/>
        <v>0</v>
      </c>
    </row>
    <row r="178" spans="1:6">
      <c r="B178">
        <v>13</v>
      </c>
      <c r="C178" t="s">
        <v>59</v>
      </c>
      <c r="D178" t="s">
        <v>46</v>
      </c>
      <c r="E178" s="51">
        <v>2</v>
      </c>
      <c r="F178" s="33">
        <f t="shared" si="7"/>
        <v>0</v>
      </c>
    </row>
    <row r="179" spans="1:6">
      <c r="B179">
        <v>14</v>
      </c>
      <c r="C179" t="s">
        <v>60</v>
      </c>
      <c r="D179" t="s">
        <v>46</v>
      </c>
      <c r="E179" s="51">
        <v>2</v>
      </c>
      <c r="F179" s="33">
        <f t="shared" si="7"/>
        <v>0</v>
      </c>
    </row>
    <row r="180" spans="1:6">
      <c r="B180">
        <v>15</v>
      </c>
      <c r="C180" t="s">
        <v>57</v>
      </c>
      <c r="D180" t="s">
        <v>46</v>
      </c>
      <c r="E180" s="51">
        <v>3</v>
      </c>
      <c r="F180" s="33">
        <f t="shared" si="7"/>
        <v>0</v>
      </c>
    </row>
    <row r="181" spans="1:6">
      <c r="B181">
        <v>16</v>
      </c>
      <c r="C181" t="s">
        <v>61</v>
      </c>
      <c r="D181" t="s">
        <v>46</v>
      </c>
      <c r="E181" s="51">
        <v>1</v>
      </c>
      <c r="F181" s="33">
        <f t="shared" si="7"/>
        <v>0</v>
      </c>
    </row>
    <row r="182" spans="1:6">
      <c r="B182">
        <v>19</v>
      </c>
      <c r="C182" t="s">
        <v>58</v>
      </c>
      <c r="D182" t="s">
        <v>46</v>
      </c>
      <c r="E182" s="51">
        <v>2</v>
      </c>
      <c r="F182" s="33">
        <f t="shared" si="7"/>
        <v>0</v>
      </c>
    </row>
    <row r="183" spans="1:6">
      <c r="B183">
        <v>20</v>
      </c>
      <c r="C183" t="s">
        <v>59</v>
      </c>
      <c r="D183" t="s">
        <v>46</v>
      </c>
      <c r="E183" s="51">
        <v>1</v>
      </c>
      <c r="F183" s="33">
        <f t="shared" si="7"/>
        <v>0</v>
      </c>
    </row>
    <row r="184" spans="1:6">
      <c r="B184">
        <v>21</v>
      </c>
      <c r="C184" t="s">
        <v>60</v>
      </c>
      <c r="D184" t="s">
        <v>46</v>
      </c>
      <c r="E184" s="51">
        <v>3</v>
      </c>
      <c r="F184" s="33">
        <f t="shared" si="7"/>
        <v>0</v>
      </c>
    </row>
    <row r="185" spans="1:6">
      <c r="B185">
        <v>22</v>
      </c>
      <c r="C185" t="s">
        <v>57</v>
      </c>
      <c r="D185" t="s">
        <v>46</v>
      </c>
      <c r="E185" s="51">
        <v>2</v>
      </c>
      <c r="F185" s="33">
        <f t="shared" si="7"/>
        <v>0</v>
      </c>
    </row>
    <row r="186" spans="1:6">
      <c r="B186">
        <v>23</v>
      </c>
      <c r="C186" t="s">
        <v>61</v>
      </c>
      <c r="D186" t="s">
        <v>46</v>
      </c>
      <c r="E186" s="51">
        <v>2</v>
      </c>
      <c r="F186" s="33">
        <f t="shared" si="7"/>
        <v>0</v>
      </c>
    </row>
    <row r="187" spans="1:6">
      <c r="B187">
        <v>26</v>
      </c>
      <c r="C187" t="s">
        <v>58</v>
      </c>
      <c r="D187" t="s">
        <v>46</v>
      </c>
      <c r="E187" s="51">
        <v>3</v>
      </c>
      <c r="F187" s="33">
        <f t="shared" si="7"/>
        <v>0</v>
      </c>
    </row>
    <row r="188" spans="1:6">
      <c r="B188">
        <v>27</v>
      </c>
      <c r="C188" t="s">
        <v>59</v>
      </c>
      <c r="D188" t="s">
        <v>46</v>
      </c>
      <c r="E188" s="51">
        <v>2</v>
      </c>
      <c r="F188" s="33">
        <f t="shared" si="7"/>
        <v>0</v>
      </c>
    </row>
    <row r="189" spans="1:6">
      <c r="B189">
        <v>28</v>
      </c>
      <c r="C189" t="s">
        <v>60</v>
      </c>
      <c r="D189" t="s">
        <v>46</v>
      </c>
      <c r="E189" s="51">
        <v>6</v>
      </c>
      <c r="F189" s="33">
        <f t="shared" si="7"/>
        <v>0</v>
      </c>
    </row>
    <row r="190" spans="1:6">
      <c r="B190">
        <v>29</v>
      </c>
      <c r="C190" t="s">
        <v>57</v>
      </c>
      <c r="D190" t="s">
        <v>46</v>
      </c>
      <c r="E190" s="51">
        <v>2</v>
      </c>
      <c r="F190" s="33">
        <f t="shared" si="7"/>
        <v>0</v>
      </c>
    </row>
    <row r="191" spans="1:6">
      <c r="B191">
        <v>30</v>
      </c>
      <c r="C191" t="s">
        <v>61</v>
      </c>
      <c r="D191" t="s">
        <v>46</v>
      </c>
      <c r="E191" s="51">
        <v>4</v>
      </c>
      <c r="F191" s="33">
        <f t="shared" si="7"/>
        <v>0</v>
      </c>
    </row>
    <row r="192" spans="1:6">
      <c r="A192" t="s">
        <v>33</v>
      </c>
      <c r="B192">
        <v>1</v>
      </c>
      <c r="C192" t="s">
        <v>57</v>
      </c>
      <c r="D192" t="s">
        <v>47</v>
      </c>
      <c r="E192" s="51">
        <v>3</v>
      </c>
      <c r="F192" s="33">
        <f t="shared" si="7"/>
        <v>0</v>
      </c>
    </row>
    <row r="193" spans="2:6">
      <c r="B193">
        <v>2</v>
      </c>
      <c r="C193" t="s">
        <v>61</v>
      </c>
      <c r="D193" t="s">
        <v>47</v>
      </c>
      <c r="E193" s="51">
        <v>1</v>
      </c>
      <c r="F193" s="33">
        <f t="shared" si="7"/>
        <v>0</v>
      </c>
    </row>
    <row r="194" spans="2:6">
      <c r="B194">
        <v>5</v>
      </c>
      <c r="C194" t="s">
        <v>58</v>
      </c>
      <c r="D194" t="s">
        <v>47</v>
      </c>
      <c r="E194" s="51">
        <v>5</v>
      </c>
      <c r="F194" s="33">
        <f t="shared" si="7"/>
        <v>0</v>
      </c>
    </row>
    <row r="195" spans="2:6">
      <c r="B195">
        <v>6</v>
      </c>
      <c r="C195" t="s">
        <v>59</v>
      </c>
      <c r="D195" t="s">
        <v>47</v>
      </c>
      <c r="E195" s="51">
        <v>5</v>
      </c>
      <c r="F195" s="33">
        <f t="shared" si="7"/>
        <v>0</v>
      </c>
    </row>
    <row r="196" spans="2:6">
      <c r="B196">
        <v>7</v>
      </c>
      <c r="C196" t="s">
        <v>60</v>
      </c>
      <c r="D196" t="s">
        <v>47</v>
      </c>
      <c r="E196" s="51">
        <v>4</v>
      </c>
      <c r="F196" s="33">
        <f t="shared" si="7"/>
        <v>0</v>
      </c>
    </row>
    <row r="197" spans="2:6">
      <c r="B197">
        <v>8</v>
      </c>
      <c r="C197" t="s">
        <v>57</v>
      </c>
      <c r="D197" t="s">
        <v>47</v>
      </c>
      <c r="E197" s="51">
        <v>1</v>
      </c>
      <c r="F197" s="33">
        <f t="shared" si="7"/>
        <v>0</v>
      </c>
    </row>
    <row r="198" spans="2:6">
      <c r="B198">
        <v>9</v>
      </c>
      <c r="C198" t="s">
        <v>61</v>
      </c>
      <c r="D198" t="s">
        <v>47</v>
      </c>
      <c r="E198" s="51">
        <v>6</v>
      </c>
      <c r="F198" s="33">
        <f t="shared" ref="F198:F261" si="8">H198</f>
        <v>0</v>
      </c>
    </row>
    <row r="199" spans="2:6">
      <c r="B199">
        <v>12</v>
      </c>
      <c r="C199" t="s">
        <v>58</v>
      </c>
      <c r="D199" t="s">
        <v>47</v>
      </c>
      <c r="E199" s="51">
        <v>1</v>
      </c>
      <c r="F199" s="33">
        <f t="shared" si="8"/>
        <v>0</v>
      </c>
    </row>
    <row r="200" spans="2:6">
      <c r="B200">
        <v>13</v>
      </c>
      <c r="C200" t="s">
        <v>59</v>
      </c>
      <c r="D200" t="s">
        <v>47</v>
      </c>
      <c r="E200" s="51">
        <v>3</v>
      </c>
      <c r="F200" s="33">
        <f t="shared" si="8"/>
        <v>0</v>
      </c>
    </row>
    <row r="201" spans="2:6">
      <c r="B201">
        <v>14</v>
      </c>
      <c r="C201" t="s">
        <v>60</v>
      </c>
      <c r="D201" t="s">
        <v>47</v>
      </c>
      <c r="E201" s="51">
        <v>1</v>
      </c>
      <c r="F201" s="33">
        <f t="shared" si="8"/>
        <v>0</v>
      </c>
    </row>
    <row r="202" spans="2:6">
      <c r="B202">
        <v>15</v>
      </c>
      <c r="C202" t="s">
        <v>57</v>
      </c>
      <c r="D202" t="s">
        <v>47</v>
      </c>
      <c r="E202" s="51">
        <v>2</v>
      </c>
      <c r="F202" s="33">
        <f t="shared" si="8"/>
        <v>0</v>
      </c>
    </row>
    <row r="203" spans="2:6">
      <c r="B203">
        <v>16</v>
      </c>
      <c r="C203" t="s">
        <v>61</v>
      </c>
      <c r="D203" t="s">
        <v>47</v>
      </c>
      <c r="E203" s="51">
        <v>5</v>
      </c>
      <c r="F203" s="33">
        <f t="shared" si="8"/>
        <v>0</v>
      </c>
    </row>
    <row r="204" spans="2:6">
      <c r="B204">
        <v>19</v>
      </c>
      <c r="C204" t="s">
        <v>58</v>
      </c>
      <c r="D204" t="s">
        <v>47</v>
      </c>
      <c r="E204" s="51">
        <v>2</v>
      </c>
      <c r="F204" s="33">
        <f t="shared" si="8"/>
        <v>0</v>
      </c>
    </row>
    <row r="205" spans="2:6">
      <c r="B205">
        <v>20</v>
      </c>
      <c r="C205" t="s">
        <v>59</v>
      </c>
      <c r="D205" t="s">
        <v>47</v>
      </c>
      <c r="E205" s="51">
        <v>4</v>
      </c>
      <c r="F205" s="33">
        <f t="shared" si="8"/>
        <v>0</v>
      </c>
    </row>
    <row r="206" spans="2:6">
      <c r="B206">
        <v>21</v>
      </c>
      <c r="C206" t="s">
        <v>60</v>
      </c>
      <c r="D206" t="s">
        <v>47</v>
      </c>
      <c r="E206" s="51">
        <v>2</v>
      </c>
      <c r="F206" s="33">
        <f t="shared" si="8"/>
        <v>0</v>
      </c>
    </row>
    <row r="207" spans="2:6">
      <c r="B207">
        <v>22</v>
      </c>
      <c r="C207" t="s">
        <v>57</v>
      </c>
      <c r="D207" t="s">
        <v>47</v>
      </c>
      <c r="E207" s="51">
        <v>2</v>
      </c>
      <c r="F207" s="33">
        <f t="shared" si="8"/>
        <v>0</v>
      </c>
    </row>
    <row r="208" spans="2:6">
      <c r="B208">
        <v>23</v>
      </c>
      <c r="C208" t="s">
        <v>61</v>
      </c>
      <c r="D208" t="s">
        <v>47</v>
      </c>
      <c r="E208" s="51">
        <v>2</v>
      </c>
      <c r="F208" s="33">
        <f t="shared" si="8"/>
        <v>0</v>
      </c>
    </row>
    <row r="209" spans="1:6">
      <c r="B209">
        <v>26</v>
      </c>
      <c r="C209" t="s">
        <v>58</v>
      </c>
      <c r="D209" t="s">
        <v>47</v>
      </c>
      <c r="E209" s="51">
        <v>1</v>
      </c>
      <c r="F209" s="33">
        <f t="shared" si="8"/>
        <v>0</v>
      </c>
    </row>
    <row r="210" spans="1:6">
      <c r="B210">
        <v>27</v>
      </c>
      <c r="C210" t="s">
        <v>59</v>
      </c>
      <c r="D210" t="s">
        <v>47</v>
      </c>
      <c r="E210" s="51">
        <v>6</v>
      </c>
      <c r="F210" s="33">
        <f t="shared" si="8"/>
        <v>0</v>
      </c>
    </row>
    <row r="211" spans="1:6">
      <c r="B211">
        <v>28</v>
      </c>
      <c r="C211" t="s">
        <v>60</v>
      </c>
      <c r="D211" t="s">
        <v>47</v>
      </c>
      <c r="E211" s="51">
        <v>1</v>
      </c>
      <c r="F211" s="33">
        <f t="shared" si="8"/>
        <v>0</v>
      </c>
    </row>
    <row r="212" spans="1:6">
      <c r="B212">
        <v>29</v>
      </c>
      <c r="C212" t="s">
        <v>57</v>
      </c>
      <c r="D212" t="s">
        <v>47</v>
      </c>
      <c r="E212" s="51">
        <v>2</v>
      </c>
      <c r="F212" s="33">
        <f t="shared" si="8"/>
        <v>0</v>
      </c>
    </row>
    <row r="213" spans="1:6">
      <c r="B213">
        <v>30</v>
      </c>
      <c r="C213" t="s">
        <v>61</v>
      </c>
      <c r="D213" t="s">
        <v>47</v>
      </c>
      <c r="E213" s="51">
        <v>3</v>
      </c>
      <c r="F213" s="33">
        <f t="shared" si="8"/>
        <v>0</v>
      </c>
    </row>
    <row r="214" spans="1:6">
      <c r="A214" t="s">
        <v>10</v>
      </c>
      <c r="B214">
        <v>1</v>
      </c>
      <c r="C214" t="s">
        <v>57</v>
      </c>
      <c r="D214" t="s">
        <v>46</v>
      </c>
      <c r="E214" s="51">
        <v>2</v>
      </c>
      <c r="F214" s="33">
        <f t="shared" si="8"/>
        <v>0</v>
      </c>
    </row>
    <row r="215" spans="1:6">
      <c r="B215">
        <v>5</v>
      </c>
      <c r="C215" t="s">
        <v>58</v>
      </c>
      <c r="D215" t="s">
        <v>47</v>
      </c>
      <c r="E215" s="51">
        <v>1</v>
      </c>
      <c r="F215" s="33">
        <f t="shared" si="8"/>
        <v>0</v>
      </c>
    </row>
    <row r="216" spans="1:6">
      <c r="B216">
        <v>6</v>
      </c>
      <c r="C216" t="s">
        <v>59</v>
      </c>
      <c r="D216" t="s">
        <v>46</v>
      </c>
      <c r="E216" s="51">
        <v>2</v>
      </c>
      <c r="F216" s="33">
        <f t="shared" si="8"/>
        <v>0</v>
      </c>
    </row>
    <row r="217" spans="1:6">
      <c r="B217">
        <v>7</v>
      </c>
      <c r="C217" t="s">
        <v>60</v>
      </c>
      <c r="D217" t="s">
        <v>47</v>
      </c>
      <c r="E217" s="51">
        <v>2</v>
      </c>
      <c r="F217" s="33">
        <f t="shared" si="8"/>
        <v>0</v>
      </c>
    </row>
    <row r="218" spans="1:6">
      <c r="B218">
        <v>8</v>
      </c>
      <c r="C218" t="s">
        <v>57</v>
      </c>
      <c r="D218" t="s">
        <v>46</v>
      </c>
      <c r="E218" s="51">
        <v>1</v>
      </c>
      <c r="F218" s="33">
        <f t="shared" si="8"/>
        <v>0</v>
      </c>
    </row>
    <row r="219" spans="1:6">
      <c r="B219">
        <v>9</v>
      </c>
      <c r="C219" t="s">
        <v>61</v>
      </c>
      <c r="D219" t="s">
        <v>47</v>
      </c>
      <c r="E219" s="51">
        <v>2</v>
      </c>
      <c r="F219" s="33">
        <f t="shared" si="8"/>
        <v>0</v>
      </c>
    </row>
    <row r="220" spans="1:6">
      <c r="B220">
        <v>12</v>
      </c>
      <c r="C220" t="s">
        <v>58</v>
      </c>
      <c r="D220" t="s">
        <v>46</v>
      </c>
      <c r="E220" s="51">
        <v>1</v>
      </c>
      <c r="F220" s="33">
        <f t="shared" si="8"/>
        <v>0</v>
      </c>
    </row>
    <row r="221" spans="1:6">
      <c r="B221">
        <v>13</v>
      </c>
      <c r="C221" t="s">
        <v>59</v>
      </c>
      <c r="D221" t="s">
        <v>47</v>
      </c>
      <c r="E221" s="51">
        <v>2</v>
      </c>
      <c r="F221" s="33">
        <f t="shared" si="8"/>
        <v>0</v>
      </c>
    </row>
    <row r="222" spans="1:6">
      <c r="B222">
        <v>14</v>
      </c>
      <c r="C222" t="s">
        <v>60</v>
      </c>
      <c r="D222" t="s">
        <v>46</v>
      </c>
      <c r="E222" s="51">
        <v>1</v>
      </c>
      <c r="F222" s="33">
        <f t="shared" si="8"/>
        <v>0</v>
      </c>
    </row>
    <row r="223" spans="1:6">
      <c r="B223">
        <v>15</v>
      </c>
      <c r="C223" t="s">
        <v>57</v>
      </c>
      <c r="D223" t="s">
        <v>47</v>
      </c>
      <c r="E223" s="51">
        <v>1</v>
      </c>
      <c r="F223" s="33">
        <f t="shared" si="8"/>
        <v>0</v>
      </c>
    </row>
    <row r="224" spans="1:6">
      <c r="B224">
        <v>16</v>
      </c>
      <c r="C224" t="s">
        <v>61</v>
      </c>
      <c r="D224" t="s">
        <v>46</v>
      </c>
      <c r="E224" s="51">
        <v>1</v>
      </c>
      <c r="F224" s="33">
        <f t="shared" si="8"/>
        <v>0</v>
      </c>
    </row>
    <row r="225" spans="1:6">
      <c r="B225">
        <v>19</v>
      </c>
      <c r="C225" t="s">
        <v>58</v>
      </c>
      <c r="D225" t="s">
        <v>47</v>
      </c>
      <c r="E225" s="51">
        <v>1</v>
      </c>
      <c r="F225" s="33">
        <f t="shared" si="8"/>
        <v>0</v>
      </c>
    </row>
    <row r="226" spans="1:6">
      <c r="B226">
        <v>20</v>
      </c>
      <c r="C226" t="s">
        <v>59</v>
      </c>
      <c r="D226" t="s">
        <v>46</v>
      </c>
      <c r="E226" s="51">
        <v>2</v>
      </c>
      <c r="F226" s="33">
        <f t="shared" si="8"/>
        <v>0</v>
      </c>
    </row>
    <row r="227" spans="1:6">
      <c r="B227">
        <v>22</v>
      </c>
      <c r="C227" t="s">
        <v>57</v>
      </c>
      <c r="D227" t="s">
        <v>47</v>
      </c>
      <c r="E227" s="51">
        <v>1</v>
      </c>
      <c r="F227" s="33">
        <f t="shared" si="8"/>
        <v>0</v>
      </c>
    </row>
    <row r="228" spans="1:6">
      <c r="B228">
        <v>23</v>
      </c>
      <c r="C228" t="s">
        <v>61</v>
      </c>
      <c r="D228" t="s">
        <v>46</v>
      </c>
      <c r="E228" s="51">
        <v>1</v>
      </c>
      <c r="F228" s="33">
        <f t="shared" si="8"/>
        <v>0</v>
      </c>
    </row>
    <row r="229" spans="1:6">
      <c r="B229">
        <v>26</v>
      </c>
      <c r="C229" t="s">
        <v>58</v>
      </c>
      <c r="D229" t="s">
        <v>47</v>
      </c>
      <c r="E229" s="51">
        <v>1</v>
      </c>
      <c r="F229" s="33">
        <f t="shared" si="8"/>
        <v>0</v>
      </c>
    </row>
    <row r="230" spans="1:6">
      <c r="B230">
        <v>27</v>
      </c>
      <c r="C230" t="s">
        <v>59</v>
      </c>
      <c r="D230" t="s">
        <v>46</v>
      </c>
      <c r="E230" s="51">
        <v>1</v>
      </c>
      <c r="F230" s="33">
        <f t="shared" si="8"/>
        <v>0</v>
      </c>
    </row>
    <row r="231" spans="1:6">
      <c r="B231">
        <v>28</v>
      </c>
      <c r="C231" t="s">
        <v>60</v>
      </c>
      <c r="D231" t="s">
        <v>47</v>
      </c>
      <c r="E231" s="51">
        <v>1</v>
      </c>
      <c r="F231" s="33">
        <f t="shared" si="8"/>
        <v>0</v>
      </c>
    </row>
    <row r="232" spans="1:6">
      <c r="B232">
        <v>29</v>
      </c>
      <c r="C232" t="s">
        <v>57</v>
      </c>
      <c r="D232" t="s">
        <v>46</v>
      </c>
      <c r="E232" s="51">
        <v>1</v>
      </c>
      <c r="F232" s="33">
        <f t="shared" si="8"/>
        <v>0</v>
      </c>
    </row>
    <row r="233" spans="1:6">
      <c r="B233">
        <v>30</v>
      </c>
      <c r="C233" t="s">
        <v>61</v>
      </c>
      <c r="D233" t="s">
        <v>47</v>
      </c>
      <c r="E233" s="51">
        <v>2</v>
      </c>
      <c r="F233" s="33">
        <f t="shared" si="8"/>
        <v>0</v>
      </c>
    </row>
    <row r="234" spans="1:6">
      <c r="A234" t="s">
        <v>40</v>
      </c>
      <c r="B234">
        <v>1</v>
      </c>
      <c r="C234" t="s">
        <v>57</v>
      </c>
      <c r="D234" t="s">
        <v>46</v>
      </c>
      <c r="E234" s="51">
        <v>1</v>
      </c>
      <c r="F234" s="33">
        <f t="shared" si="8"/>
        <v>0</v>
      </c>
    </row>
    <row r="235" spans="1:6">
      <c r="B235">
        <v>5</v>
      </c>
      <c r="C235" t="s">
        <v>58</v>
      </c>
      <c r="D235" t="s">
        <v>46</v>
      </c>
      <c r="E235" s="51">
        <v>2</v>
      </c>
      <c r="F235" s="33">
        <f t="shared" si="8"/>
        <v>0</v>
      </c>
    </row>
    <row r="236" spans="1:6">
      <c r="B236">
        <v>6</v>
      </c>
      <c r="C236" t="s">
        <v>59</v>
      </c>
      <c r="D236" t="s">
        <v>46</v>
      </c>
      <c r="E236" s="51">
        <v>3</v>
      </c>
      <c r="F236" s="33">
        <f t="shared" si="8"/>
        <v>0</v>
      </c>
    </row>
    <row r="237" spans="1:6">
      <c r="B237">
        <v>7</v>
      </c>
      <c r="C237" t="s">
        <v>60</v>
      </c>
      <c r="D237" t="s">
        <v>46</v>
      </c>
      <c r="E237" s="51">
        <v>2</v>
      </c>
      <c r="F237" s="33">
        <f t="shared" si="8"/>
        <v>0</v>
      </c>
    </row>
    <row r="238" spans="1:6">
      <c r="B238">
        <v>8</v>
      </c>
      <c r="C238" t="s">
        <v>57</v>
      </c>
      <c r="D238" t="s">
        <v>46</v>
      </c>
      <c r="E238" s="51">
        <v>4</v>
      </c>
      <c r="F238" s="33">
        <f t="shared" si="8"/>
        <v>0</v>
      </c>
    </row>
    <row r="239" spans="1:6">
      <c r="B239">
        <v>9</v>
      </c>
      <c r="C239" t="s">
        <v>61</v>
      </c>
      <c r="D239" t="s">
        <v>46</v>
      </c>
      <c r="E239" s="51">
        <v>4</v>
      </c>
      <c r="F239" s="33">
        <f t="shared" si="8"/>
        <v>0</v>
      </c>
    </row>
    <row r="240" spans="1:6">
      <c r="B240">
        <v>12</v>
      </c>
      <c r="C240" t="s">
        <v>58</v>
      </c>
      <c r="D240" t="s">
        <v>46</v>
      </c>
      <c r="E240" s="51">
        <v>1</v>
      </c>
      <c r="F240" s="33">
        <f t="shared" si="8"/>
        <v>0</v>
      </c>
    </row>
    <row r="241" spans="1:6">
      <c r="B241">
        <v>13</v>
      </c>
      <c r="C241" t="s">
        <v>59</v>
      </c>
      <c r="D241" t="s">
        <v>46</v>
      </c>
      <c r="E241" s="51">
        <v>1</v>
      </c>
      <c r="F241" s="33">
        <f t="shared" si="8"/>
        <v>0</v>
      </c>
    </row>
    <row r="242" spans="1:6">
      <c r="B242">
        <v>14</v>
      </c>
      <c r="C242" t="s">
        <v>60</v>
      </c>
      <c r="D242" t="s">
        <v>46</v>
      </c>
      <c r="E242" s="51">
        <v>2</v>
      </c>
      <c r="F242" s="33">
        <f t="shared" si="8"/>
        <v>0</v>
      </c>
    </row>
    <row r="243" spans="1:6">
      <c r="B243">
        <v>15</v>
      </c>
      <c r="C243" t="s">
        <v>57</v>
      </c>
      <c r="D243" t="s">
        <v>46</v>
      </c>
      <c r="E243" s="51">
        <v>2</v>
      </c>
      <c r="F243" s="33">
        <f t="shared" si="8"/>
        <v>0</v>
      </c>
    </row>
    <row r="244" spans="1:6">
      <c r="B244">
        <v>16</v>
      </c>
      <c r="C244" t="s">
        <v>61</v>
      </c>
      <c r="D244" t="s">
        <v>46</v>
      </c>
      <c r="E244" s="51">
        <v>1</v>
      </c>
      <c r="F244" s="33">
        <f t="shared" si="8"/>
        <v>0</v>
      </c>
    </row>
    <row r="245" spans="1:6">
      <c r="B245">
        <v>19</v>
      </c>
      <c r="C245" t="s">
        <v>58</v>
      </c>
      <c r="D245" t="s">
        <v>46</v>
      </c>
      <c r="E245" s="51">
        <v>1</v>
      </c>
      <c r="F245" s="33">
        <f t="shared" si="8"/>
        <v>0</v>
      </c>
    </row>
    <row r="246" spans="1:6">
      <c r="B246">
        <v>20</v>
      </c>
      <c r="C246" t="s">
        <v>59</v>
      </c>
      <c r="D246" t="s">
        <v>46</v>
      </c>
      <c r="E246" s="51">
        <v>2</v>
      </c>
      <c r="F246" s="33">
        <f t="shared" si="8"/>
        <v>0</v>
      </c>
    </row>
    <row r="247" spans="1:6">
      <c r="B247">
        <v>22</v>
      </c>
      <c r="C247" t="s">
        <v>57</v>
      </c>
      <c r="D247" t="s">
        <v>46</v>
      </c>
      <c r="E247" s="51">
        <v>2</v>
      </c>
      <c r="F247" s="33">
        <f t="shared" si="8"/>
        <v>0</v>
      </c>
    </row>
    <row r="248" spans="1:6">
      <c r="B248">
        <v>23</v>
      </c>
      <c r="C248" t="s">
        <v>61</v>
      </c>
      <c r="D248" t="s">
        <v>46</v>
      </c>
      <c r="E248" s="51">
        <v>2</v>
      </c>
      <c r="F248" s="33">
        <f t="shared" si="8"/>
        <v>0</v>
      </c>
    </row>
    <row r="249" spans="1:6">
      <c r="B249">
        <v>26</v>
      </c>
      <c r="C249" t="s">
        <v>58</v>
      </c>
      <c r="D249" t="s">
        <v>46</v>
      </c>
      <c r="E249" s="51">
        <v>1</v>
      </c>
      <c r="F249" s="33">
        <f t="shared" si="8"/>
        <v>0</v>
      </c>
    </row>
    <row r="250" spans="1:6">
      <c r="B250">
        <v>27</v>
      </c>
      <c r="C250" t="s">
        <v>59</v>
      </c>
      <c r="D250" t="s">
        <v>46</v>
      </c>
      <c r="E250" s="51">
        <v>2</v>
      </c>
      <c r="F250" s="33">
        <f t="shared" si="8"/>
        <v>0</v>
      </c>
    </row>
    <row r="251" spans="1:6">
      <c r="B251">
        <v>28</v>
      </c>
      <c r="C251" t="s">
        <v>60</v>
      </c>
      <c r="D251" t="s">
        <v>46</v>
      </c>
      <c r="E251" s="51">
        <v>1</v>
      </c>
      <c r="F251" s="33">
        <f t="shared" si="8"/>
        <v>0</v>
      </c>
    </row>
    <row r="252" spans="1:6">
      <c r="B252">
        <v>29</v>
      </c>
      <c r="C252" t="s">
        <v>57</v>
      </c>
      <c r="D252" t="s">
        <v>46</v>
      </c>
      <c r="E252" s="51">
        <v>1</v>
      </c>
      <c r="F252" s="33">
        <f t="shared" si="8"/>
        <v>0</v>
      </c>
    </row>
    <row r="253" spans="1:6">
      <c r="B253">
        <v>30</v>
      </c>
      <c r="C253" t="s">
        <v>61</v>
      </c>
      <c r="D253" t="s">
        <v>46</v>
      </c>
      <c r="E253" s="51">
        <v>4</v>
      </c>
      <c r="F253" s="33">
        <f t="shared" si="8"/>
        <v>0</v>
      </c>
    </row>
    <row r="254" spans="1:6">
      <c r="A254" t="s">
        <v>42</v>
      </c>
      <c r="B254">
        <v>1</v>
      </c>
      <c r="C254" t="s">
        <v>57</v>
      </c>
      <c r="D254" t="s">
        <v>46</v>
      </c>
      <c r="E254" s="51">
        <v>2</v>
      </c>
      <c r="F254" s="33">
        <f t="shared" si="8"/>
        <v>0</v>
      </c>
    </row>
    <row r="255" spans="1:6">
      <c r="A255" t="s">
        <v>36</v>
      </c>
      <c r="B255">
        <v>1</v>
      </c>
      <c r="C255" t="s">
        <v>57</v>
      </c>
      <c r="D255" t="s">
        <v>47</v>
      </c>
      <c r="E255" s="51">
        <v>1</v>
      </c>
      <c r="F255" s="33">
        <f t="shared" si="8"/>
        <v>0</v>
      </c>
    </row>
    <row r="256" spans="1:6">
      <c r="B256">
        <v>5</v>
      </c>
      <c r="C256" t="s">
        <v>58</v>
      </c>
      <c r="D256" t="s">
        <v>47</v>
      </c>
      <c r="E256" s="51">
        <v>2</v>
      </c>
      <c r="F256" s="33">
        <f t="shared" si="8"/>
        <v>0</v>
      </c>
    </row>
    <row r="257" spans="2:6">
      <c r="B257">
        <v>6</v>
      </c>
      <c r="C257" t="s">
        <v>59</v>
      </c>
      <c r="D257" t="s">
        <v>47</v>
      </c>
      <c r="E257" s="51">
        <v>2</v>
      </c>
      <c r="F257" s="33">
        <f t="shared" si="8"/>
        <v>0</v>
      </c>
    </row>
    <row r="258" spans="2:6">
      <c r="B258">
        <v>7</v>
      </c>
      <c r="C258" t="s">
        <v>60</v>
      </c>
      <c r="D258" t="s">
        <v>47</v>
      </c>
      <c r="E258" s="51">
        <v>5</v>
      </c>
      <c r="F258" s="33">
        <f t="shared" si="8"/>
        <v>0</v>
      </c>
    </row>
    <row r="259" spans="2:6">
      <c r="B259">
        <v>8</v>
      </c>
      <c r="C259" t="s">
        <v>57</v>
      </c>
      <c r="D259" t="s">
        <v>47</v>
      </c>
      <c r="E259" s="51">
        <v>4</v>
      </c>
      <c r="F259" s="33">
        <f t="shared" si="8"/>
        <v>0</v>
      </c>
    </row>
    <row r="260" spans="2:6">
      <c r="B260">
        <v>9</v>
      </c>
      <c r="C260" t="s">
        <v>61</v>
      </c>
      <c r="D260" t="s">
        <v>47</v>
      </c>
      <c r="E260" s="51">
        <v>5</v>
      </c>
      <c r="F260" s="33">
        <f t="shared" si="8"/>
        <v>0</v>
      </c>
    </row>
    <row r="261" spans="2:6">
      <c r="B261">
        <v>12</v>
      </c>
      <c r="C261" t="s">
        <v>58</v>
      </c>
      <c r="D261" t="s">
        <v>47</v>
      </c>
      <c r="E261" s="51">
        <v>4</v>
      </c>
      <c r="F261" s="33">
        <f t="shared" si="8"/>
        <v>0</v>
      </c>
    </row>
    <row r="262" spans="2:6">
      <c r="B262">
        <v>13</v>
      </c>
      <c r="C262" t="s">
        <v>59</v>
      </c>
      <c r="D262" t="s">
        <v>47</v>
      </c>
      <c r="E262" s="51">
        <v>5</v>
      </c>
      <c r="F262" s="33">
        <f t="shared" ref="F262:F323" si="9">H262</f>
        <v>0</v>
      </c>
    </row>
    <row r="263" spans="2:6">
      <c r="B263">
        <v>14</v>
      </c>
      <c r="C263" t="s">
        <v>60</v>
      </c>
      <c r="D263" t="s">
        <v>47</v>
      </c>
      <c r="E263" s="51">
        <v>5</v>
      </c>
      <c r="F263" s="33">
        <f t="shared" si="9"/>
        <v>0</v>
      </c>
    </row>
    <row r="264" spans="2:6">
      <c r="B264">
        <v>15</v>
      </c>
      <c r="C264" t="s">
        <v>57</v>
      </c>
      <c r="D264" t="s">
        <v>47</v>
      </c>
      <c r="E264" s="51">
        <v>5</v>
      </c>
      <c r="F264" s="33">
        <f t="shared" si="9"/>
        <v>0</v>
      </c>
    </row>
    <row r="265" spans="2:6">
      <c r="B265">
        <v>16</v>
      </c>
      <c r="C265" t="s">
        <v>61</v>
      </c>
      <c r="D265" t="s">
        <v>47</v>
      </c>
      <c r="E265" s="51">
        <v>6</v>
      </c>
      <c r="F265" s="33">
        <f t="shared" si="9"/>
        <v>0</v>
      </c>
    </row>
    <row r="266" spans="2:6">
      <c r="B266">
        <v>19</v>
      </c>
      <c r="C266" t="s">
        <v>58</v>
      </c>
      <c r="D266" t="s">
        <v>47</v>
      </c>
      <c r="E266" s="51">
        <v>1</v>
      </c>
      <c r="F266" s="33">
        <f t="shared" si="9"/>
        <v>0</v>
      </c>
    </row>
    <row r="267" spans="2:6">
      <c r="B267">
        <v>20</v>
      </c>
      <c r="C267" t="s">
        <v>59</v>
      </c>
      <c r="D267" t="s">
        <v>47</v>
      </c>
      <c r="E267" s="51">
        <v>1</v>
      </c>
      <c r="F267" s="33">
        <f t="shared" si="9"/>
        <v>0</v>
      </c>
    </row>
    <row r="268" spans="2:6">
      <c r="B268">
        <v>22</v>
      </c>
      <c r="C268" t="s">
        <v>57</v>
      </c>
      <c r="D268" t="s">
        <v>47</v>
      </c>
      <c r="E268" s="51">
        <v>1</v>
      </c>
      <c r="F268" s="33">
        <f t="shared" si="9"/>
        <v>0</v>
      </c>
    </row>
    <row r="269" spans="2:6">
      <c r="B269">
        <v>23</v>
      </c>
      <c r="C269" t="s">
        <v>61</v>
      </c>
      <c r="D269" t="s">
        <v>47</v>
      </c>
      <c r="E269" s="51">
        <v>5</v>
      </c>
      <c r="F269" s="33">
        <f t="shared" si="9"/>
        <v>0</v>
      </c>
    </row>
    <row r="270" spans="2:6">
      <c r="B270">
        <v>26</v>
      </c>
      <c r="C270" t="s">
        <v>58</v>
      </c>
      <c r="D270" t="s">
        <v>47</v>
      </c>
      <c r="E270" s="51">
        <v>6</v>
      </c>
      <c r="F270" s="33">
        <f t="shared" si="9"/>
        <v>0</v>
      </c>
    </row>
    <row r="271" spans="2:6">
      <c r="B271">
        <v>27</v>
      </c>
      <c r="C271" t="s">
        <v>59</v>
      </c>
      <c r="D271" t="s">
        <v>47</v>
      </c>
      <c r="E271" s="51">
        <v>5</v>
      </c>
      <c r="F271" s="33">
        <f t="shared" si="9"/>
        <v>0</v>
      </c>
    </row>
    <row r="272" spans="2:6">
      <c r="B272">
        <v>28</v>
      </c>
      <c r="C272" t="s">
        <v>60</v>
      </c>
      <c r="D272" t="s">
        <v>47</v>
      </c>
      <c r="E272" s="51">
        <v>5</v>
      </c>
      <c r="F272" s="33">
        <f t="shared" si="9"/>
        <v>0</v>
      </c>
    </row>
    <row r="273" spans="1:6">
      <c r="B273">
        <v>29</v>
      </c>
      <c r="C273" t="s">
        <v>57</v>
      </c>
      <c r="D273" t="s">
        <v>47</v>
      </c>
      <c r="E273" s="51">
        <v>4</v>
      </c>
      <c r="F273" s="33">
        <f t="shared" si="9"/>
        <v>0</v>
      </c>
    </row>
    <row r="274" spans="1:6">
      <c r="B274">
        <v>30</v>
      </c>
      <c r="C274" t="s">
        <v>61</v>
      </c>
      <c r="D274" t="s">
        <v>47</v>
      </c>
      <c r="E274" s="51">
        <v>7</v>
      </c>
      <c r="F274" s="33">
        <f t="shared" si="9"/>
        <v>0</v>
      </c>
    </row>
    <row r="275" spans="1:6">
      <c r="A275" t="s">
        <v>30</v>
      </c>
      <c r="B275">
        <v>1</v>
      </c>
      <c r="C275" t="s">
        <v>57</v>
      </c>
      <c r="D275" t="s">
        <v>46</v>
      </c>
      <c r="E275" s="51">
        <v>2</v>
      </c>
      <c r="F275" s="33">
        <f t="shared" si="9"/>
        <v>0</v>
      </c>
    </row>
    <row r="276" spans="1:6">
      <c r="B276">
        <v>5</v>
      </c>
      <c r="C276" t="s">
        <v>58</v>
      </c>
      <c r="D276" t="s">
        <v>46</v>
      </c>
      <c r="E276" s="51">
        <v>1</v>
      </c>
      <c r="F276" s="33">
        <f t="shared" si="9"/>
        <v>0</v>
      </c>
    </row>
    <row r="277" spans="1:6">
      <c r="B277">
        <v>6</v>
      </c>
      <c r="C277" t="s">
        <v>59</v>
      </c>
      <c r="D277" t="s">
        <v>46</v>
      </c>
      <c r="E277" s="51">
        <v>1</v>
      </c>
      <c r="F277" s="33">
        <f t="shared" si="9"/>
        <v>0</v>
      </c>
    </row>
    <row r="278" spans="1:6">
      <c r="B278">
        <v>7</v>
      </c>
      <c r="C278" t="s">
        <v>60</v>
      </c>
      <c r="D278" t="s">
        <v>46</v>
      </c>
      <c r="E278" s="51">
        <v>1</v>
      </c>
      <c r="F278" s="33">
        <f t="shared" si="9"/>
        <v>0</v>
      </c>
    </row>
    <row r="279" spans="1:6">
      <c r="B279">
        <v>8</v>
      </c>
      <c r="C279" t="s">
        <v>57</v>
      </c>
      <c r="D279" t="s">
        <v>46</v>
      </c>
      <c r="E279" s="51">
        <v>1</v>
      </c>
      <c r="F279" s="33">
        <f t="shared" si="9"/>
        <v>0</v>
      </c>
    </row>
    <row r="280" spans="1:6">
      <c r="B280">
        <v>9</v>
      </c>
      <c r="C280" t="s">
        <v>61</v>
      </c>
      <c r="D280" t="s">
        <v>46</v>
      </c>
      <c r="E280" s="51">
        <v>1</v>
      </c>
      <c r="F280" s="33">
        <f t="shared" si="9"/>
        <v>0</v>
      </c>
    </row>
    <row r="281" spans="1:6">
      <c r="B281">
        <v>12</v>
      </c>
      <c r="C281" t="s">
        <v>58</v>
      </c>
      <c r="D281" t="s">
        <v>46</v>
      </c>
      <c r="E281" s="51">
        <v>3</v>
      </c>
      <c r="F281" s="33">
        <f t="shared" si="9"/>
        <v>0</v>
      </c>
    </row>
    <row r="282" spans="1:6">
      <c r="B282">
        <v>13</v>
      </c>
      <c r="C282" t="s">
        <v>59</v>
      </c>
      <c r="D282" t="s">
        <v>46</v>
      </c>
      <c r="E282" s="51">
        <v>2</v>
      </c>
      <c r="F282" s="33">
        <f t="shared" si="9"/>
        <v>0</v>
      </c>
    </row>
    <row r="283" spans="1:6">
      <c r="B283">
        <v>14</v>
      </c>
      <c r="C283" t="s">
        <v>60</v>
      </c>
      <c r="D283" t="s">
        <v>46</v>
      </c>
      <c r="E283" s="51">
        <v>2</v>
      </c>
      <c r="F283" s="33">
        <f t="shared" si="9"/>
        <v>0</v>
      </c>
    </row>
    <row r="284" spans="1:6">
      <c r="B284">
        <v>15</v>
      </c>
      <c r="C284" t="s">
        <v>57</v>
      </c>
      <c r="D284" t="s">
        <v>46</v>
      </c>
      <c r="E284" s="51">
        <v>2</v>
      </c>
      <c r="F284" s="33">
        <f t="shared" si="9"/>
        <v>0</v>
      </c>
    </row>
    <row r="285" spans="1:6">
      <c r="B285">
        <v>16</v>
      </c>
      <c r="C285" t="s">
        <v>61</v>
      </c>
      <c r="D285" t="s">
        <v>46</v>
      </c>
      <c r="E285" s="51">
        <v>2</v>
      </c>
      <c r="F285" s="33">
        <f t="shared" si="9"/>
        <v>0</v>
      </c>
    </row>
    <row r="286" spans="1:6">
      <c r="B286">
        <v>19</v>
      </c>
      <c r="C286" t="s">
        <v>58</v>
      </c>
      <c r="D286" t="s">
        <v>46</v>
      </c>
      <c r="E286" s="51">
        <v>1</v>
      </c>
      <c r="F286" s="33">
        <f t="shared" si="9"/>
        <v>0</v>
      </c>
    </row>
    <row r="287" spans="1:6">
      <c r="B287">
        <v>20</v>
      </c>
      <c r="C287" t="s">
        <v>59</v>
      </c>
      <c r="D287" t="s">
        <v>46</v>
      </c>
      <c r="E287" s="51">
        <v>1</v>
      </c>
      <c r="F287" s="33">
        <f t="shared" si="9"/>
        <v>0</v>
      </c>
    </row>
    <row r="288" spans="1:6">
      <c r="B288">
        <v>22</v>
      </c>
      <c r="C288" t="s">
        <v>57</v>
      </c>
      <c r="D288" t="s">
        <v>46</v>
      </c>
      <c r="E288" s="51">
        <v>1</v>
      </c>
      <c r="F288" s="33">
        <f t="shared" si="9"/>
        <v>0</v>
      </c>
    </row>
    <row r="289" spans="1:6">
      <c r="B289">
        <v>23</v>
      </c>
      <c r="C289" t="s">
        <v>61</v>
      </c>
      <c r="D289" t="s">
        <v>46</v>
      </c>
      <c r="E289" s="51">
        <v>2</v>
      </c>
      <c r="F289" s="33">
        <f t="shared" si="9"/>
        <v>0</v>
      </c>
    </row>
    <row r="290" spans="1:6">
      <c r="B290">
        <v>26</v>
      </c>
      <c r="C290" t="s">
        <v>58</v>
      </c>
      <c r="D290" t="s">
        <v>46</v>
      </c>
      <c r="E290" s="51">
        <v>1</v>
      </c>
      <c r="F290" s="33">
        <f t="shared" si="9"/>
        <v>0</v>
      </c>
    </row>
    <row r="291" spans="1:6">
      <c r="B291">
        <v>27</v>
      </c>
      <c r="C291" t="s">
        <v>59</v>
      </c>
      <c r="D291" t="s">
        <v>46</v>
      </c>
      <c r="E291" s="51">
        <v>1</v>
      </c>
      <c r="F291" s="33">
        <f t="shared" si="9"/>
        <v>0</v>
      </c>
    </row>
    <row r="292" spans="1:6">
      <c r="B292">
        <v>28</v>
      </c>
      <c r="C292" t="s">
        <v>60</v>
      </c>
      <c r="D292" t="s">
        <v>46</v>
      </c>
      <c r="E292" s="51">
        <v>1</v>
      </c>
      <c r="F292" s="33">
        <f t="shared" si="9"/>
        <v>0</v>
      </c>
    </row>
    <row r="293" spans="1:6">
      <c r="B293">
        <v>29</v>
      </c>
      <c r="C293" t="s">
        <v>57</v>
      </c>
      <c r="D293" t="s">
        <v>46</v>
      </c>
      <c r="E293" s="51">
        <v>1</v>
      </c>
      <c r="F293" s="33">
        <f t="shared" si="9"/>
        <v>0</v>
      </c>
    </row>
    <row r="294" spans="1:6">
      <c r="B294">
        <v>30</v>
      </c>
      <c r="C294" t="s">
        <v>61</v>
      </c>
      <c r="D294" t="s">
        <v>46</v>
      </c>
      <c r="E294" s="51">
        <v>3</v>
      </c>
      <c r="F294" s="33">
        <f t="shared" si="9"/>
        <v>0</v>
      </c>
    </row>
    <row r="295" spans="1:6">
      <c r="A295" t="s">
        <v>22</v>
      </c>
      <c r="B295">
        <v>1</v>
      </c>
      <c r="C295" t="s">
        <v>57</v>
      </c>
      <c r="D295" t="s">
        <v>47</v>
      </c>
      <c r="E295" s="51">
        <v>1</v>
      </c>
      <c r="F295" s="33">
        <f t="shared" si="9"/>
        <v>0</v>
      </c>
    </row>
    <row r="296" spans="1:6">
      <c r="B296">
        <v>5</v>
      </c>
      <c r="C296" t="s">
        <v>58</v>
      </c>
      <c r="D296" t="s">
        <v>46</v>
      </c>
      <c r="E296" s="51">
        <v>1</v>
      </c>
      <c r="F296" s="33">
        <f t="shared" si="9"/>
        <v>0</v>
      </c>
    </row>
    <row r="297" spans="1:6">
      <c r="B297">
        <v>6</v>
      </c>
      <c r="C297" t="s">
        <v>59</v>
      </c>
      <c r="D297" t="s">
        <v>47</v>
      </c>
      <c r="E297" s="51">
        <v>1</v>
      </c>
      <c r="F297" s="33">
        <f t="shared" si="9"/>
        <v>0</v>
      </c>
    </row>
    <row r="298" spans="1:6">
      <c r="B298">
        <v>7</v>
      </c>
      <c r="C298" t="s">
        <v>60</v>
      </c>
      <c r="D298" t="s">
        <v>46</v>
      </c>
      <c r="E298" s="51">
        <v>2</v>
      </c>
      <c r="F298" s="32">
        <f t="shared" si="9"/>
        <v>0</v>
      </c>
    </row>
    <row r="299" spans="1:6">
      <c r="B299">
        <v>8</v>
      </c>
      <c r="C299" t="s">
        <v>57</v>
      </c>
      <c r="D299" t="s">
        <v>47</v>
      </c>
      <c r="E299" s="51">
        <v>2</v>
      </c>
      <c r="F299" s="32">
        <f t="shared" si="9"/>
        <v>0</v>
      </c>
    </row>
    <row r="300" spans="1:6">
      <c r="B300">
        <v>9</v>
      </c>
      <c r="C300" t="s">
        <v>61</v>
      </c>
      <c r="D300" t="s">
        <v>46</v>
      </c>
      <c r="E300" s="51">
        <v>2</v>
      </c>
      <c r="F300" s="32">
        <f t="shared" si="9"/>
        <v>0</v>
      </c>
    </row>
    <row r="301" spans="1:6">
      <c r="D301" t="s">
        <v>47</v>
      </c>
      <c r="E301" s="51">
        <v>2</v>
      </c>
      <c r="F301" s="32">
        <f t="shared" si="9"/>
        <v>0</v>
      </c>
    </row>
    <row r="302" spans="1:6">
      <c r="B302">
        <v>12</v>
      </c>
      <c r="C302" t="s">
        <v>58</v>
      </c>
      <c r="D302" t="s">
        <v>46</v>
      </c>
      <c r="E302" s="51">
        <v>1</v>
      </c>
      <c r="F302" s="32">
        <f t="shared" si="9"/>
        <v>0</v>
      </c>
    </row>
    <row r="303" spans="1:6">
      <c r="D303" t="s">
        <v>47</v>
      </c>
      <c r="E303" s="51">
        <v>1</v>
      </c>
      <c r="F303" s="32">
        <f t="shared" si="9"/>
        <v>0</v>
      </c>
    </row>
    <row r="304" spans="1:6">
      <c r="B304">
        <v>13</v>
      </c>
      <c r="C304" t="s">
        <v>59</v>
      </c>
      <c r="D304" t="s">
        <v>46</v>
      </c>
      <c r="E304" s="51">
        <v>1</v>
      </c>
      <c r="F304" s="32">
        <f t="shared" si="9"/>
        <v>0</v>
      </c>
    </row>
    <row r="305" spans="2:6">
      <c r="D305" t="s">
        <v>47</v>
      </c>
      <c r="E305" s="51">
        <v>2</v>
      </c>
      <c r="F305" s="32">
        <f t="shared" si="9"/>
        <v>0</v>
      </c>
    </row>
    <row r="306" spans="2:6">
      <c r="B306">
        <v>14</v>
      </c>
      <c r="C306" t="s">
        <v>60</v>
      </c>
      <c r="D306" t="s">
        <v>46</v>
      </c>
      <c r="E306" s="51">
        <v>4</v>
      </c>
      <c r="F306" s="32">
        <f t="shared" si="9"/>
        <v>0</v>
      </c>
    </row>
    <row r="307" spans="2:6">
      <c r="D307" t="s">
        <v>47</v>
      </c>
      <c r="E307" s="51">
        <v>2</v>
      </c>
      <c r="F307" s="32">
        <f t="shared" si="9"/>
        <v>0</v>
      </c>
    </row>
    <row r="308" spans="2:6">
      <c r="B308">
        <v>15</v>
      </c>
      <c r="C308" t="s">
        <v>57</v>
      </c>
      <c r="D308" t="s">
        <v>46</v>
      </c>
      <c r="E308" s="51">
        <v>2</v>
      </c>
      <c r="F308" s="32">
        <f t="shared" si="9"/>
        <v>0</v>
      </c>
    </row>
    <row r="309" spans="2:6">
      <c r="D309" t="s">
        <v>47</v>
      </c>
      <c r="E309" s="51">
        <v>1</v>
      </c>
      <c r="F309" s="32">
        <f t="shared" si="9"/>
        <v>0</v>
      </c>
    </row>
    <row r="310" spans="2:6">
      <c r="B310">
        <v>16</v>
      </c>
      <c r="C310" t="s">
        <v>61</v>
      </c>
      <c r="D310" t="s">
        <v>46</v>
      </c>
      <c r="E310" s="51">
        <v>2</v>
      </c>
      <c r="F310" s="32">
        <f t="shared" si="9"/>
        <v>0</v>
      </c>
    </row>
    <row r="311" spans="2:6">
      <c r="D311" t="s">
        <v>47</v>
      </c>
      <c r="E311" s="51">
        <v>2</v>
      </c>
      <c r="F311" s="32">
        <f t="shared" si="9"/>
        <v>0</v>
      </c>
    </row>
    <row r="312" spans="2:6">
      <c r="B312">
        <v>17</v>
      </c>
      <c r="C312" t="s">
        <v>64</v>
      </c>
      <c r="D312" t="s">
        <v>47</v>
      </c>
      <c r="E312" s="51">
        <v>1</v>
      </c>
      <c r="F312" s="32">
        <f t="shared" si="9"/>
        <v>0</v>
      </c>
    </row>
    <row r="313" spans="2:6">
      <c r="B313">
        <v>19</v>
      </c>
      <c r="C313" t="s">
        <v>58</v>
      </c>
      <c r="D313" t="s">
        <v>46</v>
      </c>
      <c r="E313" s="51">
        <v>1</v>
      </c>
      <c r="F313" s="32">
        <f t="shared" si="9"/>
        <v>0</v>
      </c>
    </row>
    <row r="314" spans="2:6">
      <c r="B314">
        <v>20</v>
      </c>
      <c r="C314" t="s">
        <v>59</v>
      </c>
      <c r="D314" t="s">
        <v>46</v>
      </c>
      <c r="E314" s="51">
        <v>2</v>
      </c>
      <c r="F314" s="32">
        <f t="shared" si="9"/>
        <v>0</v>
      </c>
    </row>
    <row r="315" spans="2:6">
      <c r="D315" t="s">
        <v>47</v>
      </c>
      <c r="E315" s="51">
        <v>4</v>
      </c>
      <c r="F315" s="32">
        <f t="shared" si="9"/>
        <v>0</v>
      </c>
    </row>
    <row r="316" spans="2:6">
      <c r="B316">
        <v>22</v>
      </c>
      <c r="C316" t="s">
        <v>57</v>
      </c>
      <c r="D316" t="s">
        <v>46</v>
      </c>
      <c r="E316" s="51">
        <v>1</v>
      </c>
      <c r="F316" s="32">
        <f t="shared" si="9"/>
        <v>0</v>
      </c>
    </row>
    <row r="317" spans="2:6">
      <c r="D317" t="s">
        <v>47</v>
      </c>
      <c r="E317" s="51">
        <v>2</v>
      </c>
      <c r="F317" s="32">
        <f t="shared" si="9"/>
        <v>0</v>
      </c>
    </row>
    <row r="318" spans="2:6">
      <c r="B318">
        <v>23</v>
      </c>
      <c r="C318" t="s">
        <v>61</v>
      </c>
      <c r="D318" t="s">
        <v>46</v>
      </c>
      <c r="E318" s="51">
        <v>2</v>
      </c>
      <c r="F318" s="32">
        <f t="shared" si="9"/>
        <v>0</v>
      </c>
    </row>
    <row r="319" spans="2:6">
      <c r="D319" t="s">
        <v>47</v>
      </c>
      <c r="E319" s="51">
        <v>1</v>
      </c>
      <c r="F319" s="32">
        <f t="shared" si="9"/>
        <v>0</v>
      </c>
    </row>
    <row r="320" spans="2:6">
      <c r="B320">
        <v>26</v>
      </c>
      <c r="C320" t="s">
        <v>58</v>
      </c>
      <c r="D320" t="s">
        <v>46</v>
      </c>
      <c r="E320" s="51">
        <v>2</v>
      </c>
      <c r="F320" s="32">
        <f t="shared" si="9"/>
        <v>0</v>
      </c>
    </row>
    <row r="321" spans="1:6">
      <c r="D321" t="s">
        <v>47</v>
      </c>
      <c r="E321" s="51">
        <v>1</v>
      </c>
      <c r="F321" s="32">
        <f t="shared" si="9"/>
        <v>0</v>
      </c>
    </row>
    <row r="322" spans="1:6">
      <c r="B322">
        <v>27</v>
      </c>
      <c r="C322" t="s">
        <v>59</v>
      </c>
      <c r="D322" t="s">
        <v>46</v>
      </c>
      <c r="E322" s="51">
        <v>2</v>
      </c>
      <c r="F322" s="32">
        <f t="shared" si="9"/>
        <v>0</v>
      </c>
    </row>
    <row r="323" spans="1:6">
      <c r="D323" t="s">
        <v>47</v>
      </c>
      <c r="E323" s="51">
        <v>2</v>
      </c>
      <c r="F323" s="32">
        <f t="shared" si="9"/>
        <v>0</v>
      </c>
    </row>
    <row r="324" spans="1:6">
      <c r="B324">
        <v>28</v>
      </c>
      <c r="C324" t="s">
        <v>60</v>
      </c>
      <c r="D324" t="s">
        <v>46</v>
      </c>
      <c r="E324" s="51">
        <v>1</v>
      </c>
    </row>
    <row r="325" spans="1:6">
      <c r="D325" t="s">
        <v>47</v>
      </c>
      <c r="E325" s="51">
        <v>2</v>
      </c>
    </row>
    <row r="326" spans="1:6">
      <c r="B326">
        <v>29</v>
      </c>
      <c r="C326" t="s">
        <v>57</v>
      </c>
      <c r="D326" t="s">
        <v>46</v>
      </c>
      <c r="E326" s="51">
        <v>2</v>
      </c>
    </row>
    <row r="327" spans="1:6">
      <c r="D327" t="s">
        <v>47</v>
      </c>
      <c r="E327" s="51">
        <v>2</v>
      </c>
    </row>
    <row r="328" spans="1:6">
      <c r="B328">
        <v>30</v>
      </c>
      <c r="C328" t="s">
        <v>61</v>
      </c>
      <c r="D328" t="s">
        <v>46</v>
      </c>
      <c r="E328" s="51">
        <v>3</v>
      </c>
    </row>
    <row r="329" spans="1:6">
      <c r="D329" t="s">
        <v>47</v>
      </c>
      <c r="E329" s="51">
        <v>2</v>
      </c>
    </row>
    <row r="330" spans="1:6">
      <c r="A330" t="s">
        <v>34</v>
      </c>
      <c r="B330">
        <v>1</v>
      </c>
      <c r="C330" t="s">
        <v>57</v>
      </c>
      <c r="D330" t="s">
        <v>46</v>
      </c>
      <c r="E330" s="51">
        <v>1</v>
      </c>
    </row>
    <row r="331" spans="1:6">
      <c r="D331" t="s">
        <v>47</v>
      </c>
      <c r="E331" s="51">
        <v>2</v>
      </c>
    </row>
    <row r="332" spans="1:6">
      <c r="B332">
        <v>3</v>
      </c>
      <c r="C332" t="s">
        <v>64</v>
      </c>
      <c r="D332" t="s">
        <v>46</v>
      </c>
      <c r="E332" s="51">
        <v>1</v>
      </c>
    </row>
    <row r="333" spans="1:6">
      <c r="D333" t="s">
        <v>47</v>
      </c>
      <c r="E333" s="51">
        <v>1</v>
      </c>
    </row>
    <row r="334" spans="1:6">
      <c r="B334">
        <v>4</v>
      </c>
      <c r="C334" t="s">
        <v>64</v>
      </c>
      <c r="D334" t="s">
        <v>46</v>
      </c>
      <c r="E334" s="51">
        <v>1</v>
      </c>
    </row>
    <row r="335" spans="1:6">
      <c r="B335">
        <v>5</v>
      </c>
      <c r="C335" t="s">
        <v>58</v>
      </c>
      <c r="D335" t="s">
        <v>47</v>
      </c>
      <c r="E335" s="51">
        <v>1</v>
      </c>
    </row>
    <row r="336" spans="1:6">
      <c r="B336">
        <v>9</v>
      </c>
      <c r="C336" t="s">
        <v>61</v>
      </c>
      <c r="D336" t="s">
        <v>46</v>
      </c>
      <c r="E336" s="51">
        <v>2</v>
      </c>
    </row>
    <row r="337" spans="2:5">
      <c r="B337">
        <v>10</v>
      </c>
      <c r="C337" t="s">
        <v>64</v>
      </c>
      <c r="D337" t="s">
        <v>47</v>
      </c>
      <c r="E337" s="51">
        <v>2</v>
      </c>
    </row>
    <row r="338" spans="2:5">
      <c r="B338">
        <v>11</v>
      </c>
      <c r="C338" t="s">
        <v>64</v>
      </c>
      <c r="D338" t="s">
        <v>46</v>
      </c>
      <c r="E338" s="51">
        <v>2</v>
      </c>
    </row>
    <row r="339" spans="2:5">
      <c r="B339">
        <v>12</v>
      </c>
      <c r="C339" t="s">
        <v>58</v>
      </c>
      <c r="D339" t="s">
        <v>47</v>
      </c>
      <c r="E339" s="51">
        <v>2</v>
      </c>
    </row>
    <row r="340" spans="2:5">
      <c r="B340">
        <v>13</v>
      </c>
      <c r="C340" t="s">
        <v>59</v>
      </c>
      <c r="D340" t="s">
        <v>46</v>
      </c>
      <c r="E340" s="51">
        <v>2</v>
      </c>
    </row>
    <row r="341" spans="2:5">
      <c r="B341">
        <v>14</v>
      </c>
      <c r="C341" t="s">
        <v>60</v>
      </c>
      <c r="D341" t="s">
        <v>46</v>
      </c>
      <c r="E341" s="51">
        <v>1</v>
      </c>
    </row>
    <row r="342" spans="2:5">
      <c r="D342" t="s">
        <v>47</v>
      </c>
      <c r="E342" s="51">
        <v>2</v>
      </c>
    </row>
    <row r="343" spans="2:5">
      <c r="B343">
        <v>18</v>
      </c>
      <c r="C343" t="s">
        <v>64</v>
      </c>
      <c r="D343" t="s">
        <v>46</v>
      </c>
      <c r="E343" s="51">
        <v>1</v>
      </c>
    </row>
    <row r="344" spans="2:5">
      <c r="D344" t="s">
        <v>47</v>
      </c>
      <c r="E344" s="51">
        <v>2</v>
      </c>
    </row>
    <row r="345" spans="2:5">
      <c r="B345">
        <v>19</v>
      </c>
      <c r="C345" t="s">
        <v>58</v>
      </c>
      <c r="D345" t="s">
        <v>46</v>
      </c>
      <c r="E345" s="51">
        <v>2</v>
      </c>
    </row>
    <row r="346" spans="2:5">
      <c r="B346">
        <v>20</v>
      </c>
      <c r="C346" t="s">
        <v>59</v>
      </c>
      <c r="D346" t="s">
        <v>46</v>
      </c>
      <c r="E346" s="51">
        <v>1</v>
      </c>
    </row>
    <row r="347" spans="2:5">
      <c r="D347" t="s">
        <v>47</v>
      </c>
      <c r="E347" s="51">
        <v>4</v>
      </c>
    </row>
    <row r="348" spans="2:5">
      <c r="B348">
        <v>21</v>
      </c>
      <c r="C348" t="s">
        <v>60</v>
      </c>
      <c r="D348" t="s">
        <v>46</v>
      </c>
      <c r="E348" s="51">
        <v>2</v>
      </c>
    </row>
    <row r="349" spans="2:5">
      <c r="D349" t="s">
        <v>47</v>
      </c>
      <c r="E349" s="51">
        <v>1</v>
      </c>
    </row>
    <row r="350" spans="2:5">
      <c r="B350">
        <v>22</v>
      </c>
      <c r="C350" t="s">
        <v>57</v>
      </c>
      <c r="D350" t="s">
        <v>46</v>
      </c>
      <c r="E350" s="51">
        <v>4</v>
      </c>
    </row>
    <row r="351" spans="2:5">
      <c r="D351" t="s">
        <v>47</v>
      </c>
      <c r="E351" s="51">
        <v>2</v>
      </c>
    </row>
    <row r="352" spans="2:5">
      <c r="B352">
        <v>23</v>
      </c>
      <c r="C352" t="s">
        <v>61</v>
      </c>
      <c r="D352" t="s">
        <v>47</v>
      </c>
      <c r="E352" s="51">
        <v>2</v>
      </c>
    </row>
    <row r="353" spans="1:5">
      <c r="B353">
        <v>27</v>
      </c>
      <c r="C353" t="s">
        <v>59</v>
      </c>
      <c r="D353" t="s">
        <v>46</v>
      </c>
      <c r="E353" s="51">
        <v>3</v>
      </c>
    </row>
    <row r="354" spans="1:5">
      <c r="D354" t="s">
        <v>47</v>
      </c>
      <c r="E354" s="51">
        <v>2</v>
      </c>
    </row>
    <row r="355" spans="1:5">
      <c r="B355">
        <v>28</v>
      </c>
      <c r="C355" t="s">
        <v>60</v>
      </c>
      <c r="D355" t="s">
        <v>47</v>
      </c>
      <c r="E355" s="51">
        <v>2</v>
      </c>
    </row>
    <row r="356" spans="1:5">
      <c r="B356">
        <v>29</v>
      </c>
      <c r="C356" t="s">
        <v>57</v>
      </c>
      <c r="D356" t="s">
        <v>46</v>
      </c>
      <c r="E356" s="51">
        <v>2</v>
      </c>
    </row>
    <row r="357" spans="1:5">
      <c r="D357" t="s">
        <v>47</v>
      </c>
      <c r="E357" s="51">
        <v>3</v>
      </c>
    </row>
    <row r="358" spans="1:5">
      <c r="B358">
        <v>30</v>
      </c>
      <c r="C358" t="s">
        <v>61</v>
      </c>
      <c r="D358" t="s">
        <v>47</v>
      </c>
      <c r="E358" s="51">
        <v>3</v>
      </c>
    </row>
    <row r="359" spans="1:5">
      <c r="A359" t="s">
        <v>43</v>
      </c>
      <c r="B359">
        <v>1</v>
      </c>
      <c r="C359" t="s">
        <v>57</v>
      </c>
      <c r="D359" t="s">
        <v>46</v>
      </c>
      <c r="E359" s="51">
        <v>3</v>
      </c>
    </row>
    <row r="360" spans="1:5">
      <c r="B360">
        <v>5</v>
      </c>
      <c r="C360" t="s">
        <v>58</v>
      </c>
      <c r="D360" t="s">
        <v>46</v>
      </c>
      <c r="E360" s="51">
        <v>2</v>
      </c>
    </row>
    <row r="361" spans="1:5">
      <c r="B361">
        <v>6</v>
      </c>
      <c r="C361" t="s">
        <v>59</v>
      </c>
      <c r="D361" t="s">
        <v>46</v>
      </c>
      <c r="E361" s="51">
        <v>1</v>
      </c>
    </row>
    <row r="362" spans="1:5">
      <c r="B362">
        <v>7</v>
      </c>
      <c r="C362" t="s">
        <v>60</v>
      </c>
      <c r="D362" t="s">
        <v>46</v>
      </c>
      <c r="E362" s="51">
        <v>2</v>
      </c>
    </row>
    <row r="363" spans="1:5">
      <c r="B363">
        <v>8</v>
      </c>
      <c r="C363" t="s">
        <v>57</v>
      </c>
      <c r="D363" t="s">
        <v>46</v>
      </c>
      <c r="E363" s="51">
        <v>4</v>
      </c>
    </row>
    <row r="364" spans="1:5">
      <c r="B364">
        <v>9</v>
      </c>
      <c r="C364" t="s">
        <v>61</v>
      </c>
      <c r="D364" t="s">
        <v>46</v>
      </c>
      <c r="E364" s="51">
        <v>1</v>
      </c>
    </row>
    <row r="365" spans="1:5">
      <c r="B365">
        <v>10</v>
      </c>
      <c r="C365" t="s">
        <v>64</v>
      </c>
      <c r="D365" t="s">
        <v>46</v>
      </c>
      <c r="E365" s="51">
        <v>8</v>
      </c>
    </row>
    <row r="366" spans="1:5">
      <c r="B366">
        <v>12</v>
      </c>
      <c r="C366" t="s">
        <v>58</v>
      </c>
      <c r="D366" t="s">
        <v>46</v>
      </c>
      <c r="E366" s="51">
        <v>4</v>
      </c>
    </row>
    <row r="367" spans="1:5">
      <c r="B367">
        <v>13</v>
      </c>
      <c r="C367" t="s">
        <v>59</v>
      </c>
      <c r="D367" t="s">
        <v>46</v>
      </c>
      <c r="E367" s="51">
        <v>1</v>
      </c>
    </row>
    <row r="368" spans="1:5">
      <c r="B368">
        <v>14</v>
      </c>
      <c r="C368" t="s">
        <v>60</v>
      </c>
      <c r="D368" t="s">
        <v>46</v>
      </c>
      <c r="E368" s="51">
        <v>2</v>
      </c>
    </row>
    <row r="369" spans="1:5">
      <c r="B369">
        <v>15</v>
      </c>
      <c r="C369" t="s">
        <v>57</v>
      </c>
      <c r="D369" t="s">
        <v>46</v>
      </c>
      <c r="E369" s="51">
        <v>2</v>
      </c>
    </row>
    <row r="370" spans="1:5">
      <c r="B370">
        <v>16</v>
      </c>
      <c r="C370" t="s">
        <v>61</v>
      </c>
      <c r="D370" t="s">
        <v>46</v>
      </c>
      <c r="E370" s="51">
        <v>2</v>
      </c>
    </row>
    <row r="371" spans="1:5">
      <c r="B371">
        <v>19</v>
      </c>
      <c r="C371" t="s">
        <v>58</v>
      </c>
      <c r="D371" t="s">
        <v>46</v>
      </c>
      <c r="E371" s="51">
        <v>2</v>
      </c>
    </row>
    <row r="372" spans="1:5">
      <c r="B372">
        <v>20</v>
      </c>
      <c r="C372" t="s">
        <v>59</v>
      </c>
      <c r="D372" t="s">
        <v>46</v>
      </c>
      <c r="E372" s="51">
        <v>3</v>
      </c>
    </row>
    <row r="373" spans="1:5">
      <c r="B373">
        <v>21</v>
      </c>
      <c r="C373" t="s">
        <v>60</v>
      </c>
      <c r="D373" t="s">
        <v>46</v>
      </c>
      <c r="E373" s="51">
        <v>2</v>
      </c>
    </row>
    <row r="374" spans="1:5">
      <c r="B374">
        <v>22</v>
      </c>
      <c r="C374" t="s">
        <v>57</v>
      </c>
      <c r="D374" t="s">
        <v>46</v>
      </c>
      <c r="E374" s="51">
        <v>1</v>
      </c>
    </row>
    <row r="375" spans="1:5">
      <c r="B375">
        <v>23</v>
      </c>
      <c r="C375" t="s">
        <v>61</v>
      </c>
      <c r="D375" t="s">
        <v>46</v>
      </c>
      <c r="E375" s="51">
        <v>1</v>
      </c>
    </row>
    <row r="376" spans="1:5">
      <c r="B376">
        <v>24</v>
      </c>
      <c r="C376" t="s">
        <v>64</v>
      </c>
      <c r="D376" t="s">
        <v>46</v>
      </c>
      <c r="E376" s="51">
        <v>3</v>
      </c>
    </row>
    <row r="377" spans="1:5">
      <c r="B377">
        <v>26</v>
      </c>
      <c r="C377" t="s">
        <v>58</v>
      </c>
      <c r="D377" t="s">
        <v>46</v>
      </c>
      <c r="E377" s="51">
        <v>1</v>
      </c>
    </row>
    <row r="378" spans="1:5">
      <c r="B378">
        <v>27</v>
      </c>
      <c r="C378" t="s">
        <v>59</v>
      </c>
      <c r="D378" t="s">
        <v>46</v>
      </c>
      <c r="E378" s="51">
        <v>7</v>
      </c>
    </row>
    <row r="379" spans="1:5">
      <c r="B379">
        <v>28</v>
      </c>
      <c r="C379" t="s">
        <v>60</v>
      </c>
      <c r="D379" t="s">
        <v>46</v>
      </c>
      <c r="E379" s="51">
        <v>4</v>
      </c>
    </row>
    <row r="380" spans="1:5">
      <c r="B380">
        <v>29</v>
      </c>
      <c r="C380" t="s">
        <v>57</v>
      </c>
      <c r="D380" t="s">
        <v>46</v>
      </c>
      <c r="E380" s="51">
        <v>1</v>
      </c>
    </row>
    <row r="381" spans="1:5">
      <c r="B381">
        <v>30</v>
      </c>
      <c r="C381" t="s">
        <v>61</v>
      </c>
      <c r="D381" t="s">
        <v>46</v>
      </c>
      <c r="E381" s="51">
        <v>2</v>
      </c>
    </row>
    <row r="382" spans="1:5">
      <c r="A382" t="s">
        <v>13</v>
      </c>
      <c r="B382">
        <v>1</v>
      </c>
      <c r="C382" t="s">
        <v>57</v>
      </c>
      <c r="D382" t="s">
        <v>47</v>
      </c>
      <c r="E382" s="51">
        <v>3</v>
      </c>
    </row>
    <row r="383" spans="1:5">
      <c r="B383">
        <v>5</v>
      </c>
      <c r="C383" t="s">
        <v>58</v>
      </c>
      <c r="D383" t="s">
        <v>47</v>
      </c>
      <c r="E383" s="51">
        <v>1</v>
      </c>
    </row>
    <row r="384" spans="1:5">
      <c r="B384">
        <v>6</v>
      </c>
      <c r="C384" t="s">
        <v>59</v>
      </c>
      <c r="D384" t="s">
        <v>47</v>
      </c>
      <c r="E384" s="51">
        <v>2</v>
      </c>
    </row>
    <row r="385" spans="2:5">
      <c r="B385">
        <v>7</v>
      </c>
      <c r="C385" t="s">
        <v>60</v>
      </c>
      <c r="D385" t="s">
        <v>47</v>
      </c>
      <c r="E385" s="51">
        <v>1</v>
      </c>
    </row>
    <row r="386" spans="2:5">
      <c r="B386">
        <v>8</v>
      </c>
      <c r="C386" t="s">
        <v>57</v>
      </c>
      <c r="D386" t="s">
        <v>47</v>
      </c>
      <c r="E386" s="51">
        <v>2</v>
      </c>
    </row>
    <row r="387" spans="2:5">
      <c r="B387">
        <v>9</v>
      </c>
      <c r="C387" t="s">
        <v>61</v>
      </c>
      <c r="D387" t="s">
        <v>47</v>
      </c>
      <c r="E387" s="51">
        <v>2</v>
      </c>
    </row>
    <row r="388" spans="2:5">
      <c r="B388">
        <v>12</v>
      </c>
      <c r="C388" t="s">
        <v>58</v>
      </c>
      <c r="D388" t="s">
        <v>47</v>
      </c>
      <c r="E388" s="51">
        <v>1</v>
      </c>
    </row>
    <row r="389" spans="2:5">
      <c r="B389">
        <v>13</v>
      </c>
      <c r="C389" t="s">
        <v>59</v>
      </c>
      <c r="D389" t="s">
        <v>47</v>
      </c>
      <c r="E389" s="51">
        <v>1</v>
      </c>
    </row>
    <row r="390" spans="2:5">
      <c r="B390">
        <v>14</v>
      </c>
      <c r="C390" t="s">
        <v>60</v>
      </c>
      <c r="D390" t="s">
        <v>47</v>
      </c>
      <c r="E390" s="51">
        <v>1</v>
      </c>
    </row>
    <row r="391" spans="2:5">
      <c r="B391">
        <v>15</v>
      </c>
      <c r="C391" t="s">
        <v>57</v>
      </c>
      <c r="D391" t="s">
        <v>47</v>
      </c>
      <c r="E391" s="51">
        <v>1</v>
      </c>
    </row>
    <row r="392" spans="2:5">
      <c r="B392">
        <v>16</v>
      </c>
      <c r="C392" t="s">
        <v>61</v>
      </c>
      <c r="D392" t="s">
        <v>47</v>
      </c>
      <c r="E392" s="51">
        <v>1</v>
      </c>
    </row>
    <row r="393" spans="2:5">
      <c r="B393">
        <v>19</v>
      </c>
      <c r="C393" t="s">
        <v>58</v>
      </c>
      <c r="D393" t="s">
        <v>47</v>
      </c>
      <c r="E393" s="51">
        <v>1</v>
      </c>
    </row>
    <row r="394" spans="2:5">
      <c r="B394">
        <v>20</v>
      </c>
      <c r="C394" t="s">
        <v>59</v>
      </c>
      <c r="D394" t="s">
        <v>47</v>
      </c>
      <c r="E394" s="51">
        <v>1</v>
      </c>
    </row>
    <row r="395" spans="2:5">
      <c r="B395">
        <v>22</v>
      </c>
      <c r="C395" t="s">
        <v>57</v>
      </c>
      <c r="D395" t="s">
        <v>47</v>
      </c>
      <c r="E395" s="51">
        <v>1</v>
      </c>
    </row>
    <row r="396" spans="2:5">
      <c r="B396">
        <v>23</v>
      </c>
      <c r="C396" t="s">
        <v>61</v>
      </c>
      <c r="D396" t="s">
        <v>47</v>
      </c>
      <c r="E396" s="51">
        <v>1</v>
      </c>
    </row>
    <row r="397" spans="2:5">
      <c r="B397">
        <v>26</v>
      </c>
      <c r="C397" t="s">
        <v>58</v>
      </c>
      <c r="D397" t="s">
        <v>47</v>
      </c>
      <c r="E397" s="51">
        <v>1</v>
      </c>
    </row>
    <row r="398" spans="2:5">
      <c r="B398">
        <v>27</v>
      </c>
      <c r="C398" t="s">
        <v>59</v>
      </c>
      <c r="D398" t="s">
        <v>47</v>
      </c>
      <c r="E398" s="51">
        <v>2</v>
      </c>
    </row>
    <row r="399" spans="2:5">
      <c r="B399">
        <v>28</v>
      </c>
      <c r="C399" t="s">
        <v>60</v>
      </c>
      <c r="D399" t="s">
        <v>47</v>
      </c>
      <c r="E399" s="51">
        <v>2</v>
      </c>
    </row>
    <row r="400" spans="2:5">
      <c r="B400">
        <v>29</v>
      </c>
      <c r="C400" t="s">
        <v>57</v>
      </c>
      <c r="D400" t="s">
        <v>47</v>
      </c>
      <c r="E400" s="51">
        <v>2</v>
      </c>
    </row>
    <row r="401" spans="1:5">
      <c r="B401">
        <v>30</v>
      </c>
      <c r="C401" t="s">
        <v>61</v>
      </c>
      <c r="D401" t="s">
        <v>47</v>
      </c>
      <c r="E401" s="51">
        <v>2</v>
      </c>
    </row>
    <row r="402" spans="1:5">
      <c r="A402" t="s">
        <v>25</v>
      </c>
      <c r="B402">
        <v>1</v>
      </c>
      <c r="C402" t="s">
        <v>57</v>
      </c>
      <c r="D402" t="s">
        <v>47</v>
      </c>
      <c r="E402" s="51">
        <v>1</v>
      </c>
    </row>
    <row r="403" spans="1:5">
      <c r="B403">
        <v>5</v>
      </c>
      <c r="C403" t="s">
        <v>58</v>
      </c>
      <c r="D403" t="s">
        <v>47</v>
      </c>
      <c r="E403" s="51">
        <v>1</v>
      </c>
    </row>
    <row r="404" spans="1:5">
      <c r="B404">
        <v>6</v>
      </c>
      <c r="C404" t="s">
        <v>59</v>
      </c>
      <c r="D404" t="s">
        <v>47</v>
      </c>
      <c r="E404" s="51">
        <v>1</v>
      </c>
    </row>
    <row r="405" spans="1:5">
      <c r="B405">
        <v>7</v>
      </c>
      <c r="C405" t="s">
        <v>60</v>
      </c>
      <c r="D405" t="s">
        <v>47</v>
      </c>
      <c r="E405" s="51">
        <v>1</v>
      </c>
    </row>
    <row r="406" spans="1:5">
      <c r="B406">
        <v>8</v>
      </c>
      <c r="C406" t="s">
        <v>57</v>
      </c>
      <c r="D406" t="s">
        <v>47</v>
      </c>
      <c r="E406" s="51">
        <v>1</v>
      </c>
    </row>
    <row r="407" spans="1:5">
      <c r="B407">
        <v>9</v>
      </c>
      <c r="C407" t="s">
        <v>61</v>
      </c>
      <c r="D407" t="s">
        <v>47</v>
      </c>
      <c r="E407" s="51">
        <v>1</v>
      </c>
    </row>
    <row r="408" spans="1:5">
      <c r="B408">
        <v>12</v>
      </c>
      <c r="C408" t="s">
        <v>58</v>
      </c>
      <c r="D408" t="s">
        <v>47</v>
      </c>
      <c r="E408" s="51">
        <v>2</v>
      </c>
    </row>
    <row r="409" spans="1:5">
      <c r="B409">
        <v>13</v>
      </c>
      <c r="C409" t="s">
        <v>59</v>
      </c>
      <c r="D409" t="s">
        <v>47</v>
      </c>
      <c r="E409" s="51">
        <v>1</v>
      </c>
    </row>
    <row r="410" spans="1:5">
      <c r="B410">
        <v>14</v>
      </c>
      <c r="C410" t="s">
        <v>60</v>
      </c>
      <c r="D410" t="s">
        <v>47</v>
      </c>
      <c r="E410" s="51">
        <v>2</v>
      </c>
    </row>
    <row r="411" spans="1:5">
      <c r="B411">
        <v>15</v>
      </c>
      <c r="C411" t="s">
        <v>57</v>
      </c>
      <c r="D411" t="s">
        <v>47</v>
      </c>
      <c r="E411" s="51">
        <v>2</v>
      </c>
    </row>
    <row r="412" spans="1:5">
      <c r="B412">
        <v>16</v>
      </c>
      <c r="C412" t="s">
        <v>61</v>
      </c>
      <c r="D412" t="s">
        <v>47</v>
      </c>
      <c r="E412" s="51">
        <v>3</v>
      </c>
    </row>
    <row r="413" spans="1:5">
      <c r="B413">
        <v>19</v>
      </c>
      <c r="C413" t="s">
        <v>58</v>
      </c>
      <c r="D413" t="s">
        <v>47</v>
      </c>
      <c r="E413" s="51">
        <v>1</v>
      </c>
    </row>
    <row r="414" spans="1:5">
      <c r="B414">
        <v>20</v>
      </c>
      <c r="C414" t="s">
        <v>59</v>
      </c>
      <c r="D414" t="s">
        <v>47</v>
      </c>
      <c r="E414" s="51">
        <v>1</v>
      </c>
    </row>
    <row r="415" spans="1:5">
      <c r="B415">
        <v>22</v>
      </c>
      <c r="C415" t="s">
        <v>57</v>
      </c>
      <c r="D415" t="s">
        <v>47</v>
      </c>
      <c r="E415" s="51">
        <v>1</v>
      </c>
    </row>
    <row r="416" spans="1:5">
      <c r="B416">
        <v>23</v>
      </c>
      <c r="C416" t="s">
        <v>61</v>
      </c>
      <c r="D416" t="s">
        <v>47</v>
      </c>
      <c r="E416" s="51">
        <v>2</v>
      </c>
    </row>
    <row r="417" spans="1:5">
      <c r="B417">
        <v>26</v>
      </c>
      <c r="C417" t="s">
        <v>58</v>
      </c>
      <c r="D417" t="s">
        <v>47</v>
      </c>
      <c r="E417" s="51">
        <v>2</v>
      </c>
    </row>
    <row r="418" spans="1:5">
      <c r="B418">
        <v>27</v>
      </c>
      <c r="C418" t="s">
        <v>59</v>
      </c>
      <c r="D418" t="s">
        <v>47</v>
      </c>
      <c r="E418" s="51">
        <v>2</v>
      </c>
    </row>
    <row r="419" spans="1:5">
      <c r="B419">
        <v>28</v>
      </c>
      <c r="C419" t="s">
        <v>60</v>
      </c>
      <c r="D419" t="s">
        <v>47</v>
      </c>
      <c r="E419" s="51">
        <v>2</v>
      </c>
    </row>
    <row r="420" spans="1:5">
      <c r="B420">
        <v>29</v>
      </c>
      <c r="C420" t="s">
        <v>57</v>
      </c>
      <c r="D420" t="s">
        <v>47</v>
      </c>
      <c r="E420" s="51">
        <v>2</v>
      </c>
    </row>
    <row r="421" spans="1:5">
      <c r="B421">
        <v>30</v>
      </c>
      <c r="C421" t="s">
        <v>61</v>
      </c>
      <c r="D421" t="s">
        <v>47</v>
      </c>
      <c r="E421" s="51">
        <v>5</v>
      </c>
    </row>
    <row r="422" spans="1:5">
      <c r="A422" t="s">
        <v>37</v>
      </c>
      <c r="B422">
        <v>1</v>
      </c>
      <c r="C422" t="s">
        <v>57</v>
      </c>
      <c r="D422" t="s">
        <v>47</v>
      </c>
      <c r="E422" s="51">
        <v>1</v>
      </c>
    </row>
    <row r="423" spans="1:5">
      <c r="B423">
        <v>5</v>
      </c>
      <c r="C423" t="s">
        <v>58</v>
      </c>
      <c r="D423" t="s">
        <v>47</v>
      </c>
      <c r="E423" s="51">
        <v>1</v>
      </c>
    </row>
    <row r="424" spans="1:5">
      <c r="B424">
        <v>6</v>
      </c>
      <c r="C424" t="s">
        <v>59</v>
      </c>
      <c r="D424" t="s">
        <v>47</v>
      </c>
      <c r="E424" s="51">
        <v>2</v>
      </c>
    </row>
    <row r="425" spans="1:5">
      <c r="B425">
        <v>7</v>
      </c>
      <c r="C425" t="s">
        <v>60</v>
      </c>
      <c r="D425" t="s">
        <v>47</v>
      </c>
      <c r="E425" s="51">
        <v>1</v>
      </c>
    </row>
    <row r="426" spans="1:5">
      <c r="B426">
        <v>8</v>
      </c>
      <c r="C426" t="s">
        <v>57</v>
      </c>
      <c r="D426" t="s">
        <v>47</v>
      </c>
      <c r="E426" s="51">
        <v>2</v>
      </c>
    </row>
    <row r="427" spans="1:5">
      <c r="B427">
        <v>9</v>
      </c>
      <c r="C427" t="s">
        <v>61</v>
      </c>
      <c r="D427" t="s">
        <v>47</v>
      </c>
      <c r="E427" s="51">
        <v>1</v>
      </c>
    </row>
    <row r="428" spans="1:5">
      <c r="B428">
        <v>12</v>
      </c>
      <c r="C428" t="s">
        <v>58</v>
      </c>
      <c r="D428" t="s">
        <v>47</v>
      </c>
      <c r="E428" s="51">
        <v>1</v>
      </c>
    </row>
    <row r="429" spans="1:5">
      <c r="B429">
        <v>13</v>
      </c>
      <c r="C429" t="s">
        <v>59</v>
      </c>
      <c r="D429" t="s">
        <v>47</v>
      </c>
      <c r="E429" s="51">
        <v>2</v>
      </c>
    </row>
    <row r="430" spans="1:5">
      <c r="B430">
        <v>14</v>
      </c>
      <c r="C430" t="s">
        <v>60</v>
      </c>
      <c r="D430" t="s">
        <v>47</v>
      </c>
      <c r="E430" s="51">
        <v>1</v>
      </c>
    </row>
    <row r="431" spans="1:5">
      <c r="B431">
        <v>15</v>
      </c>
      <c r="C431" t="s">
        <v>57</v>
      </c>
      <c r="D431" t="s">
        <v>47</v>
      </c>
      <c r="E431" s="51">
        <v>2</v>
      </c>
    </row>
    <row r="432" spans="1:5">
      <c r="B432">
        <v>16</v>
      </c>
      <c r="C432" t="s">
        <v>61</v>
      </c>
      <c r="D432" t="s">
        <v>47</v>
      </c>
      <c r="E432" s="51">
        <v>2</v>
      </c>
    </row>
    <row r="433" spans="1:5">
      <c r="B433">
        <v>19</v>
      </c>
      <c r="C433" t="s">
        <v>58</v>
      </c>
      <c r="D433" t="s">
        <v>47</v>
      </c>
      <c r="E433" s="51">
        <v>1</v>
      </c>
    </row>
    <row r="434" spans="1:5">
      <c r="B434">
        <v>20</v>
      </c>
      <c r="C434" t="s">
        <v>59</v>
      </c>
      <c r="D434" t="s">
        <v>47</v>
      </c>
      <c r="E434" s="51">
        <v>1</v>
      </c>
    </row>
    <row r="435" spans="1:5">
      <c r="B435">
        <v>22</v>
      </c>
      <c r="C435" t="s">
        <v>57</v>
      </c>
      <c r="D435" t="s">
        <v>47</v>
      </c>
      <c r="E435" s="51">
        <v>1</v>
      </c>
    </row>
    <row r="436" spans="1:5">
      <c r="B436">
        <v>23</v>
      </c>
      <c r="C436" t="s">
        <v>61</v>
      </c>
      <c r="D436" t="s">
        <v>47</v>
      </c>
      <c r="E436" s="51">
        <v>2</v>
      </c>
    </row>
    <row r="437" spans="1:5">
      <c r="B437">
        <v>26</v>
      </c>
      <c r="C437" t="s">
        <v>58</v>
      </c>
      <c r="D437" t="s">
        <v>47</v>
      </c>
      <c r="E437" s="51">
        <v>2</v>
      </c>
    </row>
    <row r="438" spans="1:5">
      <c r="B438">
        <v>27</v>
      </c>
      <c r="C438" t="s">
        <v>59</v>
      </c>
      <c r="D438" t="s">
        <v>47</v>
      </c>
      <c r="E438" s="51">
        <v>2</v>
      </c>
    </row>
    <row r="439" spans="1:5">
      <c r="B439">
        <v>28</v>
      </c>
      <c r="C439" t="s">
        <v>60</v>
      </c>
      <c r="D439" t="s">
        <v>47</v>
      </c>
      <c r="E439" s="51">
        <v>2</v>
      </c>
    </row>
    <row r="440" spans="1:5">
      <c r="B440">
        <v>29</v>
      </c>
      <c r="C440" t="s">
        <v>57</v>
      </c>
      <c r="D440" t="s">
        <v>47</v>
      </c>
      <c r="E440" s="51">
        <v>2</v>
      </c>
    </row>
    <row r="441" spans="1:5">
      <c r="B441">
        <v>30</v>
      </c>
      <c r="C441" t="s">
        <v>61</v>
      </c>
      <c r="D441" t="s">
        <v>47</v>
      </c>
      <c r="E441" s="51">
        <v>3</v>
      </c>
    </row>
    <row r="442" spans="1:5">
      <c r="A442" t="s">
        <v>20</v>
      </c>
      <c r="B442">
        <v>1</v>
      </c>
      <c r="C442" t="s">
        <v>57</v>
      </c>
      <c r="D442" t="s">
        <v>46</v>
      </c>
      <c r="E442" s="51">
        <v>1</v>
      </c>
    </row>
    <row r="443" spans="1:5">
      <c r="B443">
        <v>4</v>
      </c>
      <c r="C443" t="s">
        <v>64</v>
      </c>
      <c r="D443" t="s">
        <v>46</v>
      </c>
      <c r="E443" s="51">
        <v>1</v>
      </c>
    </row>
    <row r="444" spans="1:5">
      <c r="B444">
        <v>5</v>
      </c>
      <c r="C444" t="s">
        <v>58</v>
      </c>
      <c r="D444" t="s">
        <v>46</v>
      </c>
      <c r="E444" s="51">
        <v>2</v>
      </c>
    </row>
    <row r="445" spans="1:5">
      <c r="B445">
        <v>6</v>
      </c>
      <c r="C445" t="s">
        <v>59</v>
      </c>
      <c r="D445" t="s">
        <v>46</v>
      </c>
      <c r="E445" s="51">
        <v>2</v>
      </c>
    </row>
    <row r="446" spans="1:5">
      <c r="B446">
        <v>7</v>
      </c>
      <c r="C446" t="s">
        <v>60</v>
      </c>
      <c r="D446" t="s">
        <v>46</v>
      </c>
      <c r="E446" s="51">
        <v>1</v>
      </c>
    </row>
    <row r="447" spans="1:5">
      <c r="B447">
        <v>8</v>
      </c>
      <c r="C447" t="s">
        <v>57</v>
      </c>
      <c r="D447" t="s">
        <v>46</v>
      </c>
      <c r="E447" s="51">
        <v>2</v>
      </c>
    </row>
    <row r="448" spans="1:5">
      <c r="B448">
        <v>9</v>
      </c>
      <c r="C448" t="s">
        <v>61</v>
      </c>
      <c r="D448" t="s">
        <v>46</v>
      </c>
      <c r="E448" s="51">
        <v>2</v>
      </c>
    </row>
    <row r="449" spans="2:5">
      <c r="B449">
        <v>12</v>
      </c>
      <c r="C449" t="s">
        <v>58</v>
      </c>
      <c r="D449" t="s">
        <v>46</v>
      </c>
      <c r="E449" s="51">
        <v>6</v>
      </c>
    </row>
    <row r="450" spans="2:5">
      <c r="B450">
        <v>13</v>
      </c>
      <c r="C450" t="s">
        <v>59</v>
      </c>
      <c r="D450" t="s">
        <v>46</v>
      </c>
      <c r="E450" s="51">
        <v>4</v>
      </c>
    </row>
    <row r="451" spans="2:5">
      <c r="B451">
        <v>14</v>
      </c>
      <c r="C451" t="s">
        <v>60</v>
      </c>
      <c r="D451" t="s">
        <v>46</v>
      </c>
      <c r="E451" s="51">
        <v>5</v>
      </c>
    </row>
    <row r="452" spans="2:5">
      <c r="B452">
        <v>15</v>
      </c>
      <c r="C452" t="s">
        <v>57</v>
      </c>
      <c r="D452" t="s">
        <v>46</v>
      </c>
      <c r="E452" s="51">
        <v>7</v>
      </c>
    </row>
    <row r="453" spans="2:5">
      <c r="B453">
        <v>16</v>
      </c>
      <c r="C453" t="s">
        <v>61</v>
      </c>
      <c r="D453" t="s">
        <v>46</v>
      </c>
      <c r="E453" s="51">
        <v>5</v>
      </c>
    </row>
    <row r="454" spans="2:5">
      <c r="B454">
        <v>19</v>
      </c>
      <c r="C454" t="s">
        <v>58</v>
      </c>
      <c r="D454" t="s">
        <v>46</v>
      </c>
      <c r="E454" s="51">
        <v>1</v>
      </c>
    </row>
    <row r="455" spans="2:5">
      <c r="B455">
        <v>20</v>
      </c>
      <c r="C455" t="s">
        <v>59</v>
      </c>
      <c r="D455" t="s">
        <v>46</v>
      </c>
      <c r="E455" s="51">
        <v>4</v>
      </c>
    </row>
    <row r="456" spans="2:5">
      <c r="B456">
        <v>21</v>
      </c>
      <c r="C456" t="s">
        <v>60</v>
      </c>
      <c r="D456" t="s">
        <v>46</v>
      </c>
      <c r="E456" s="51">
        <v>1</v>
      </c>
    </row>
    <row r="457" spans="2:5">
      <c r="B457">
        <v>22</v>
      </c>
      <c r="C457" t="s">
        <v>57</v>
      </c>
      <c r="D457" t="s">
        <v>46</v>
      </c>
      <c r="E457" s="51">
        <v>3</v>
      </c>
    </row>
    <row r="458" spans="2:5">
      <c r="B458">
        <v>23</v>
      </c>
      <c r="C458" t="s">
        <v>61</v>
      </c>
      <c r="D458" t="s">
        <v>46</v>
      </c>
      <c r="E458" s="51">
        <v>4</v>
      </c>
    </row>
    <row r="459" spans="2:5">
      <c r="B459">
        <v>24</v>
      </c>
      <c r="C459" t="s">
        <v>64</v>
      </c>
      <c r="D459" t="s">
        <v>46</v>
      </c>
      <c r="E459" s="51">
        <v>1</v>
      </c>
    </row>
    <row r="460" spans="2:5">
      <c r="B460">
        <v>26</v>
      </c>
      <c r="C460" t="s">
        <v>58</v>
      </c>
      <c r="D460" t="s">
        <v>46</v>
      </c>
      <c r="E460" s="51">
        <v>1</v>
      </c>
    </row>
    <row r="461" spans="2:5">
      <c r="B461">
        <v>27</v>
      </c>
      <c r="C461" t="s">
        <v>59</v>
      </c>
      <c r="D461" t="s">
        <v>46</v>
      </c>
      <c r="E461" s="51">
        <v>3</v>
      </c>
    </row>
    <row r="462" spans="2:5">
      <c r="B462">
        <v>28</v>
      </c>
      <c r="C462" t="s">
        <v>60</v>
      </c>
      <c r="D462" t="s">
        <v>46</v>
      </c>
      <c r="E462" s="51">
        <v>4</v>
      </c>
    </row>
    <row r="463" spans="2:5">
      <c r="B463">
        <v>29</v>
      </c>
      <c r="C463" t="s">
        <v>57</v>
      </c>
      <c r="D463" t="s">
        <v>46</v>
      </c>
      <c r="E463" s="51">
        <v>1</v>
      </c>
    </row>
    <row r="464" spans="2:5">
      <c r="B464">
        <v>30</v>
      </c>
      <c r="C464" t="s">
        <v>61</v>
      </c>
      <c r="D464" t="s">
        <v>46</v>
      </c>
      <c r="E464" s="51">
        <v>3</v>
      </c>
    </row>
    <row r="465" spans="1:5">
      <c r="A465" t="s">
        <v>7</v>
      </c>
      <c r="B465">
        <v>1</v>
      </c>
      <c r="C465" t="s">
        <v>57</v>
      </c>
      <c r="D465" t="s">
        <v>46</v>
      </c>
      <c r="E465" s="51">
        <v>2</v>
      </c>
    </row>
    <row r="466" spans="1:5">
      <c r="B466">
        <v>5</v>
      </c>
      <c r="C466" t="s">
        <v>58</v>
      </c>
      <c r="D466" t="s">
        <v>46</v>
      </c>
      <c r="E466" s="51">
        <v>1</v>
      </c>
    </row>
    <row r="467" spans="1:5">
      <c r="D467" t="s">
        <v>47</v>
      </c>
      <c r="E467" s="51">
        <v>3</v>
      </c>
    </row>
    <row r="468" spans="1:5">
      <c r="B468">
        <v>6</v>
      </c>
      <c r="C468" t="s">
        <v>59</v>
      </c>
      <c r="D468" t="s">
        <v>46</v>
      </c>
      <c r="E468" s="51">
        <v>2</v>
      </c>
    </row>
    <row r="469" spans="1:5">
      <c r="B469">
        <v>7</v>
      </c>
      <c r="C469" t="s">
        <v>60</v>
      </c>
      <c r="D469" t="s">
        <v>47</v>
      </c>
      <c r="E469" s="51">
        <v>2</v>
      </c>
    </row>
    <row r="470" spans="1:5">
      <c r="B470">
        <v>8</v>
      </c>
      <c r="C470" t="s">
        <v>57</v>
      </c>
      <c r="D470" t="s">
        <v>46</v>
      </c>
      <c r="E470" s="51">
        <v>2</v>
      </c>
    </row>
    <row r="471" spans="1:5">
      <c r="B471">
        <v>9</v>
      </c>
      <c r="C471" t="s">
        <v>61</v>
      </c>
      <c r="D471" t="s">
        <v>46</v>
      </c>
      <c r="E471" s="51">
        <v>2</v>
      </c>
    </row>
    <row r="472" spans="1:5">
      <c r="D472" t="s">
        <v>47</v>
      </c>
      <c r="E472" s="51">
        <v>1</v>
      </c>
    </row>
    <row r="473" spans="1:5">
      <c r="B473">
        <v>12</v>
      </c>
      <c r="C473" t="s">
        <v>58</v>
      </c>
      <c r="D473" t="s">
        <v>47</v>
      </c>
      <c r="E473" s="51">
        <v>2</v>
      </c>
    </row>
    <row r="474" spans="1:5">
      <c r="B474">
        <v>13</v>
      </c>
      <c r="C474" t="s">
        <v>59</v>
      </c>
      <c r="D474" t="s">
        <v>46</v>
      </c>
      <c r="E474" s="51">
        <v>2</v>
      </c>
    </row>
    <row r="475" spans="1:5">
      <c r="D475" t="s">
        <v>47</v>
      </c>
      <c r="E475" s="51">
        <v>2</v>
      </c>
    </row>
    <row r="476" spans="1:5">
      <c r="B476">
        <v>14</v>
      </c>
      <c r="C476" t="s">
        <v>60</v>
      </c>
      <c r="D476" t="s">
        <v>46</v>
      </c>
      <c r="E476" s="51">
        <v>3</v>
      </c>
    </row>
    <row r="477" spans="1:5">
      <c r="D477" t="s">
        <v>47</v>
      </c>
      <c r="E477" s="51">
        <v>1</v>
      </c>
    </row>
    <row r="478" spans="1:5">
      <c r="B478">
        <v>15</v>
      </c>
      <c r="C478" t="s">
        <v>57</v>
      </c>
      <c r="D478" t="s">
        <v>47</v>
      </c>
      <c r="E478" s="51">
        <v>2</v>
      </c>
    </row>
    <row r="479" spans="1:5">
      <c r="B479">
        <v>16</v>
      </c>
      <c r="C479" t="s">
        <v>61</v>
      </c>
      <c r="D479" t="s">
        <v>46</v>
      </c>
      <c r="E479" s="51">
        <v>1</v>
      </c>
    </row>
    <row r="480" spans="1:5">
      <c r="B480">
        <v>19</v>
      </c>
      <c r="C480" t="s">
        <v>58</v>
      </c>
      <c r="D480" t="s">
        <v>47</v>
      </c>
      <c r="E480" s="51">
        <v>2</v>
      </c>
    </row>
    <row r="481" spans="1:5">
      <c r="B481">
        <v>20</v>
      </c>
      <c r="C481" t="s">
        <v>59</v>
      </c>
      <c r="D481" t="s">
        <v>46</v>
      </c>
      <c r="E481" s="51">
        <v>2</v>
      </c>
    </row>
    <row r="482" spans="1:5">
      <c r="B482">
        <v>22</v>
      </c>
      <c r="C482" t="s">
        <v>57</v>
      </c>
      <c r="D482" t="s">
        <v>47</v>
      </c>
      <c r="E482" s="51">
        <v>2</v>
      </c>
    </row>
    <row r="483" spans="1:5">
      <c r="B483">
        <v>23</v>
      </c>
      <c r="C483" t="s">
        <v>61</v>
      </c>
      <c r="D483" t="s">
        <v>46</v>
      </c>
      <c r="E483" s="51">
        <v>1</v>
      </c>
    </row>
    <row r="484" spans="1:5">
      <c r="B484">
        <v>26</v>
      </c>
      <c r="C484" t="s">
        <v>58</v>
      </c>
      <c r="D484" t="s">
        <v>46</v>
      </c>
      <c r="E484" s="51">
        <v>1</v>
      </c>
    </row>
    <row r="485" spans="1:5">
      <c r="D485" t="s">
        <v>47</v>
      </c>
      <c r="E485" s="51">
        <v>3</v>
      </c>
    </row>
    <row r="486" spans="1:5">
      <c r="B486">
        <v>27</v>
      </c>
      <c r="C486" t="s">
        <v>59</v>
      </c>
      <c r="D486" t="s">
        <v>46</v>
      </c>
      <c r="E486" s="51">
        <v>2</v>
      </c>
    </row>
    <row r="487" spans="1:5">
      <c r="B487">
        <v>28</v>
      </c>
      <c r="C487" t="s">
        <v>60</v>
      </c>
      <c r="D487" t="s">
        <v>47</v>
      </c>
      <c r="E487" s="51">
        <v>2</v>
      </c>
    </row>
    <row r="488" spans="1:5">
      <c r="B488">
        <v>29</v>
      </c>
      <c r="C488" t="s">
        <v>57</v>
      </c>
      <c r="D488" t="s">
        <v>46</v>
      </c>
      <c r="E488" s="51">
        <v>1</v>
      </c>
    </row>
    <row r="489" spans="1:5">
      <c r="B489">
        <v>30</v>
      </c>
      <c r="C489" t="s">
        <v>61</v>
      </c>
      <c r="D489" t="s">
        <v>46</v>
      </c>
      <c r="E489" s="51">
        <v>1</v>
      </c>
    </row>
    <row r="490" spans="1:5">
      <c r="D490" t="s">
        <v>47</v>
      </c>
      <c r="E490" s="51">
        <v>3</v>
      </c>
    </row>
    <row r="491" spans="1:5">
      <c r="A491" t="s">
        <v>39</v>
      </c>
      <c r="B491">
        <v>1</v>
      </c>
      <c r="C491" t="s">
        <v>57</v>
      </c>
      <c r="D491" t="s">
        <v>47</v>
      </c>
      <c r="E491" s="51">
        <v>3</v>
      </c>
    </row>
    <row r="492" spans="1:5">
      <c r="B492">
        <v>3</v>
      </c>
      <c r="C492" t="s">
        <v>64</v>
      </c>
      <c r="D492" t="s">
        <v>47</v>
      </c>
      <c r="E492" s="51">
        <v>2</v>
      </c>
    </row>
    <row r="493" spans="1:5">
      <c r="B493">
        <v>5</v>
      </c>
      <c r="C493" t="s">
        <v>58</v>
      </c>
      <c r="D493" t="s">
        <v>47</v>
      </c>
      <c r="E493" s="51">
        <v>1</v>
      </c>
    </row>
    <row r="494" spans="1:5">
      <c r="B494">
        <v>6</v>
      </c>
      <c r="C494" t="s">
        <v>59</v>
      </c>
      <c r="D494" t="s">
        <v>47</v>
      </c>
      <c r="E494" s="51">
        <v>4</v>
      </c>
    </row>
    <row r="495" spans="1:5">
      <c r="B495">
        <v>7</v>
      </c>
      <c r="C495" t="s">
        <v>60</v>
      </c>
      <c r="D495" t="s">
        <v>47</v>
      </c>
      <c r="E495" s="51">
        <v>2</v>
      </c>
    </row>
    <row r="496" spans="1:5">
      <c r="B496">
        <v>8</v>
      </c>
      <c r="C496" t="s">
        <v>57</v>
      </c>
      <c r="D496" t="s">
        <v>47</v>
      </c>
      <c r="E496" s="51">
        <v>4</v>
      </c>
    </row>
    <row r="497" spans="1:5">
      <c r="B497">
        <v>11</v>
      </c>
      <c r="C497" t="s">
        <v>64</v>
      </c>
      <c r="D497" t="s">
        <v>47</v>
      </c>
      <c r="E497" s="51">
        <v>2</v>
      </c>
    </row>
    <row r="498" spans="1:5">
      <c r="B498">
        <v>12</v>
      </c>
      <c r="C498" t="s">
        <v>58</v>
      </c>
      <c r="D498" t="s">
        <v>47</v>
      </c>
      <c r="E498" s="51">
        <v>4</v>
      </c>
    </row>
    <row r="499" spans="1:5">
      <c r="B499">
        <v>13</v>
      </c>
      <c r="C499" t="s">
        <v>59</v>
      </c>
      <c r="D499" t="s">
        <v>47</v>
      </c>
      <c r="E499" s="51">
        <v>3</v>
      </c>
    </row>
    <row r="500" spans="1:5">
      <c r="B500">
        <v>14</v>
      </c>
      <c r="C500" t="s">
        <v>60</v>
      </c>
      <c r="D500" t="s">
        <v>47</v>
      </c>
      <c r="E500" s="51">
        <v>2</v>
      </c>
    </row>
    <row r="501" spans="1:5">
      <c r="B501">
        <v>15</v>
      </c>
      <c r="C501" t="s">
        <v>57</v>
      </c>
      <c r="D501" t="s">
        <v>47</v>
      </c>
      <c r="E501" s="51">
        <v>1</v>
      </c>
    </row>
    <row r="502" spans="1:5">
      <c r="B502">
        <v>16</v>
      </c>
      <c r="C502" t="s">
        <v>61</v>
      </c>
      <c r="D502" t="s">
        <v>47</v>
      </c>
      <c r="E502" s="51">
        <v>3</v>
      </c>
    </row>
    <row r="503" spans="1:5">
      <c r="B503">
        <v>19</v>
      </c>
      <c r="C503" t="s">
        <v>58</v>
      </c>
      <c r="D503" t="s">
        <v>47</v>
      </c>
      <c r="E503" s="51">
        <v>5</v>
      </c>
    </row>
    <row r="504" spans="1:5">
      <c r="B504">
        <v>20</v>
      </c>
      <c r="C504" t="s">
        <v>59</v>
      </c>
      <c r="D504" t="s">
        <v>47</v>
      </c>
      <c r="E504" s="51">
        <v>6</v>
      </c>
    </row>
    <row r="505" spans="1:5">
      <c r="B505">
        <v>22</v>
      </c>
      <c r="C505" t="s">
        <v>57</v>
      </c>
      <c r="D505" t="s">
        <v>47</v>
      </c>
      <c r="E505" s="51">
        <v>8</v>
      </c>
    </row>
    <row r="506" spans="1:5">
      <c r="B506">
        <v>23</v>
      </c>
      <c r="C506" t="s">
        <v>61</v>
      </c>
      <c r="D506" t="s">
        <v>47</v>
      </c>
      <c r="E506" s="51">
        <v>4</v>
      </c>
    </row>
    <row r="507" spans="1:5">
      <c r="B507">
        <v>26</v>
      </c>
      <c r="C507" t="s">
        <v>58</v>
      </c>
      <c r="D507" t="s">
        <v>47</v>
      </c>
      <c r="E507" s="51">
        <v>1</v>
      </c>
    </row>
    <row r="508" spans="1:5">
      <c r="B508">
        <v>27</v>
      </c>
      <c r="C508" t="s">
        <v>59</v>
      </c>
      <c r="D508" t="s">
        <v>47</v>
      </c>
      <c r="E508" s="51">
        <v>1</v>
      </c>
    </row>
    <row r="509" spans="1:5">
      <c r="B509">
        <v>28</v>
      </c>
      <c r="C509" t="s">
        <v>60</v>
      </c>
      <c r="D509" t="s">
        <v>47</v>
      </c>
      <c r="E509" s="51">
        <v>3</v>
      </c>
    </row>
    <row r="510" spans="1:5">
      <c r="B510">
        <v>29</v>
      </c>
      <c r="C510" t="s">
        <v>57</v>
      </c>
      <c r="D510" t="s">
        <v>47</v>
      </c>
      <c r="E510" s="51">
        <v>2</v>
      </c>
    </row>
    <row r="511" spans="1:5">
      <c r="B511">
        <v>30</v>
      </c>
      <c r="C511" t="s">
        <v>61</v>
      </c>
      <c r="D511" t="s">
        <v>47</v>
      </c>
      <c r="E511" s="51">
        <v>4</v>
      </c>
    </row>
    <row r="512" spans="1:5">
      <c r="A512" t="s">
        <v>27</v>
      </c>
      <c r="B512">
        <v>1</v>
      </c>
      <c r="C512" t="s">
        <v>57</v>
      </c>
      <c r="D512" t="s">
        <v>47</v>
      </c>
      <c r="E512" s="51">
        <v>2</v>
      </c>
    </row>
    <row r="513" spans="2:5">
      <c r="B513">
        <v>2</v>
      </c>
      <c r="C513" t="s">
        <v>61</v>
      </c>
      <c r="D513" t="s">
        <v>47</v>
      </c>
      <c r="E513" s="51">
        <v>1</v>
      </c>
    </row>
    <row r="514" spans="2:5">
      <c r="B514">
        <v>3</v>
      </c>
      <c r="C514" t="s">
        <v>64</v>
      </c>
      <c r="D514" t="s">
        <v>47</v>
      </c>
      <c r="E514" s="51">
        <v>3</v>
      </c>
    </row>
    <row r="515" spans="2:5">
      <c r="B515">
        <v>5</v>
      </c>
      <c r="C515" t="s">
        <v>58</v>
      </c>
      <c r="D515" t="s">
        <v>47</v>
      </c>
      <c r="E515" s="51">
        <v>4</v>
      </c>
    </row>
    <row r="516" spans="2:5">
      <c r="B516">
        <v>6</v>
      </c>
      <c r="C516" t="s">
        <v>59</v>
      </c>
      <c r="D516" t="s">
        <v>47</v>
      </c>
      <c r="E516" s="51">
        <v>1</v>
      </c>
    </row>
    <row r="517" spans="2:5">
      <c r="B517">
        <v>7</v>
      </c>
      <c r="C517" t="s">
        <v>60</v>
      </c>
      <c r="D517" t="s">
        <v>47</v>
      </c>
      <c r="E517" s="51">
        <v>2</v>
      </c>
    </row>
    <row r="518" spans="2:5">
      <c r="B518">
        <v>8</v>
      </c>
      <c r="C518" t="s">
        <v>57</v>
      </c>
      <c r="D518" t="s">
        <v>47</v>
      </c>
      <c r="E518" s="51">
        <v>2</v>
      </c>
    </row>
    <row r="519" spans="2:5">
      <c r="B519">
        <v>10</v>
      </c>
      <c r="C519" t="s">
        <v>64</v>
      </c>
      <c r="D519" t="s">
        <v>47</v>
      </c>
      <c r="E519" s="51">
        <v>5</v>
      </c>
    </row>
    <row r="520" spans="2:5">
      <c r="B520">
        <v>11</v>
      </c>
      <c r="C520" t="s">
        <v>64</v>
      </c>
      <c r="D520" t="s">
        <v>47</v>
      </c>
      <c r="E520" s="51">
        <v>2</v>
      </c>
    </row>
    <row r="521" spans="2:5">
      <c r="B521">
        <v>12</v>
      </c>
      <c r="C521" t="s">
        <v>58</v>
      </c>
      <c r="D521" t="s">
        <v>47</v>
      </c>
      <c r="E521" s="51">
        <v>1</v>
      </c>
    </row>
    <row r="522" spans="2:5">
      <c r="B522">
        <v>13</v>
      </c>
      <c r="C522" t="s">
        <v>59</v>
      </c>
      <c r="D522" t="s">
        <v>47</v>
      </c>
      <c r="E522" s="51">
        <v>2</v>
      </c>
    </row>
    <row r="523" spans="2:5">
      <c r="B523">
        <v>15</v>
      </c>
      <c r="C523" t="s">
        <v>57</v>
      </c>
      <c r="D523" t="s">
        <v>46</v>
      </c>
      <c r="E523" s="51">
        <v>4</v>
      </c>
    </row>
    <row r="524" spans="2:5">
      <c r="B524">
        <v>16</v>
      </c>
      <c r="C524" t="s">
        <v>61</v>
      </c>
      <c r="D524" t="s">
        <v>46</v>
      </c>
      <c r="E524" s="51">
        <v>2</v>
      </c>
    </row>
    <row r="525" spans="2:5">
      <c r="B525">
        <v>17</v>
      </c>
      <c r="C525" t="s">
        <v>64</v>
      </c>
      <c r="D525" t="s">
        <v>46</v>
      </c>
      <c r="E525" s="51">
        <v>2</v>
      </c>
    </row>
    <row r="526" spans="2:5">
      <c r="B526">
        <v>18</v>
      </c>
      <c r="C526" t="s">
        <v>64</v>
      </c>
      <c r="D526" t="s">
        <v>46</v>
      </c>
      <c r="E526" s="51">
        <v>7</v>
      </c>
    </row>
    <row r="527" spans="2:5">
      <c r="B527">
        <v>20</v>
      </c>
      <c r="C527" t="s">
        <v>59</v>
      </c>
      <c r="D527" t="s">
        <v>46</v>
      </c>
      <c r="E527" s="51">
        <v>5</v>
      </c>
    </row>
    <row r="528" spans="2:5">
      <c r="B528">
        <v>21</v>
      </c>
      <c r="C528" t="s">
        <v>60</v>
      </c>
      <c r="D528" t="s">
        <v>46</v>
      </c>
      <c r="E528" s="51">
        <v>1</v>
      </c>
    </row>
    <row r="529" spans="1:5">
      <c r="B529">
        <v>22</v>
      </c>
      <c r="C529" t="s">
        <v>57</v>
      </c>
      <c r="D529" t="s">
        <v>46</v>
      </c>
      <c r="E529" s="51">
        <v>2</v>
      </c>
    </row>
    <row r="530" spans="1:5">
      <c r="B530">
        <v>23</v>
      </c>
      <c r="C530" t="s">
        <v>61</v>
      </c>
      <c r="D530" t="s">
        <v>46</v>
      </c>
      <c r="E530" s="51">
        <v>5</v>
      </c>
    </row>
    <row r="531" spans="1:5">
      <c r="B531">
        <v>25</v>
      </c>
      <c r="C531" t="s">
        <v>64</v>
      </c>
      <c r="D531" t="s">
        <v>46</v>
      </c>
      <c r="E531" s="51">
        <v>4</v>
      </c>
    </row>
    <row r="532" spans="1:5">
      <c r="B532">
        <v>26</v>
      </c>
      <c r="C532" t="s">
        <v>58</v>
      </c>
      <c r="D532" t="s">
        <v>46</v>
      </c>
      <c r="E532" s="51">
        <v>4</v>
      </c>
    </row>
    <row r="533" spans="1:5">
      <c r="B533">
        <v>27</v>
      </c>
      <c r="C533" t="s">
        <v>59</v>
      </c>
      <c r="D533" t="s">
        <v>46</v>
      </c>
      <c r="E533" s="51">
        <v>3</v>
      </c>
    </row>
    <row r="534" spans="1:5">
      <c r="B534">
        <v>28</v>
      </c>
      <c r="C534" t="s">
        <v>60</v>
      </c>
      <c r="D534" t="s">
        <v>46</v>
      </c>
      <c r="E534" s="51">
        <v>3</v>
      </c>
    </row>
    <row r="535" spans="1:5">
      <c r="B535">
        <v>30</v>
      </c>
      <c r="C535" t="s">
        <v>61</v>
      </c>
      <c r="D535" t="s">
        <v>46</v>
      </c>
      <c r="E535" s="51">
        <v>6</v>
      </c>
    </row>
    <row r="536" spans="1:5">
      <c r="A536" t="s">
        <v>38</v>
      </c>
      <c r="B536">
        <v>1</v>
      </c>
      <c r="C536" t="s">
        <v>57</v>
      </c>
      <c r="D536" t="s">
        <v>47</v>
      </c>
      <c r="E536" s="51">
        <v>1</v>
      </c>
    </row>
    <row r="537" spans="1:5">
      <c r="B537">
        <v>5</v>
      </c>
      <c r="C537" t="s">
        <v>58</v>
      </c>
      <c r="D537" t="s">
        <v>47</v>
      </c>
      <c r="E537" s="51">
        <v>2</v>
      </c>
    </row>
    <row r="538" spans="1:5">
      <c r="B538">
        <v>6</v>
      </c>
      <c r="C538" t="s">
        <v>59</v>
      </c>
      <c r="D538" t="s">
        <v>47</v>
      </c>
      <c r="E538" s="51">
        <v>2</v>
      </c>
    </row>
    <row r="539" spans="1:5">
      <c r="B539">
        <v>7</v>
      </c>
      <c r="C539" t="s">
        <v>60</v>
      </c>
      <c r="D539" t="s">
        <v>47</v>
      </c>
      <c r="E539" s="51">
        <v>2</v>
      </c>
    </row>
    <row r="540" spans="1:5">
      <c r="B540">
        <v>8</v>
      </c>
      <c r="C540" t="s">
        <v>57</v>
      </c>
      <c r="D540" t="s">
        <v>47</v>
      </c>
      <c r="E540" s="51">
        <v>1</v>
      </c>
    </row>
    <row r="541" spans="1:5">
      <c r="B541">
        <v>9</v>
      </c>
      <c r="C541" t="s">
        <v>61</v>
      </c>
      <c r="D541" t="s">
        <v>47</v>
      </c>
      <c r="E541" s="51">
        <v>1</v>
      </c>
    </row>
    <row r="542" spans="1:5">
      <c r="B542">
        <v>12</v>
      </c>
      <c r="C542" t="s">
        <v>58</v>
      </c>
      <c r="D542" t="s">
        <v>47</v>
      </c>
      <c r="E542" s="51">
        <v>1</v>
      </c>
    </row>
    <row r="543" spans="1:5">
      <c r="B543">
        <v>13</v>
      </c>
      <c r="C543" t="s">
        <v>59</v>
      </c>
      <c r="D543" t="s">
        <v>47</v>
      </c>
      <c r="E543" s="51">
        <v>1</v>
      </c>
    </row>
    <row r="544" spans="1:5">
      <c r="B544">
        <v>14</v>
      </c>
      <c r="C544" t="s">
        <v>60</v>
      </c>
      <c r="D544" t="s">
        <v>47</v>
      </c>
      <c r="E544" s="51">
        <v>1</v>
      </c>
    </row>
    <row r="545" spans="1:5">
      <c r="B545">
        <v>15</v>
      </c>
      <c r="C545" t="s">
        <v>57</v>
      </c>
      <c r="D545" t="s">
        <v>47</v>
      </c>
      <c r="E545" s="51">
        <v>1</v>
      </c>
    </row>
    <row r="546" spans="1:5">
      <c r="B546">
        <v>16</v>
      </c>
      <c r="C546" t="s">
        <v>61</v>
      </c>
      <c r="D546" t="s">
        <v>47</v>
      </c>
      <c r="E546" s="51">
        <v>1</v>
      </c>
    </row>
    <row r="547" spans="1:5">
      <c r="B547">
        <v>19</v>
      </c>
      <c r="C547" t="s">
        <v>58</v>
      </c>
      <c r="D547" t="s">
        <v>47</v>
      </c>
      <c r="E547" s="51">
        <v>2</v>
      </c>
    </row>
    <row r="548" spans="1:5">
      <c r="B548">
        <v>20</v>
      </c>
      <c r="C548" t="s">
        <v>59</v>
      </c>
      <c r="D548" t="s">
        <v>47</v>
      </c>
      <c r="E548" s="51">
        <v>1</v>
      </c>
    </row>
    <row r="549" spans="1:5">
      <c r="B549">
        <v>22</v>
      </c>
      <c r="C549" t="s">
        <v>57</v>
      </c>
      <c r="D549" t="s">
        <v>47</v>
      </c>
      <c r="E549" s="51">
        <v>5</v>
      </c>
    </row>
    <row r="550" spans="1:5">
      <c r="B550">
        <v>23</v>
      </c>
      <c r="C550" t="s">
        <v>61</v>
      </c>
      <c r="D550" t="s">
        <v>47</v>
      </c>
      <c r="E550" s="51">
        <v>1</v>
      </c>
    </row>
    <row r="551" spans="1:5">
      <c r="B551">
        <v>26</v>
      </c>
      <c r="C551" t="s">
        <v>58</v>
      </c>
      <c r="D551" t="s">
        <v>47</v>
      </c>
      <c r="E551" s="51">
        <v>2</v>
      </c>
    </row>
    <row r="552" spans="1:5">
      <c r="B552">
        <v>27</v>
      </c>
      <c r="C552" t="s">
        <v>59</v>
      </c>
      <c r="D552" t="s">
        <v>47</v>
      </c>
      <c r="E552" s="51">
        <v>1</v>
      </c>
    </row>
    <row r="553" spans="1:5">
      <c r="B553">
        <v>28</v>
      </c>
      <c r="C553" t="s">
        <v>60</v>
      </c>
      <c r="D553" t="s">
        <v>47</v>
      </c>
      <c r="E553" s="51">
        <v>2</v>
      </c>
    </row>
    <row r="554" spans="1:5">
      <c r="B554">
        <v>29</v>
      </c>
      <c r="C554" t="s">
        <v>57</v>
      </c>
      <c r="D554" t="s">
        <v>47</v>
      </c>
      <c r="E554" s="51">
        <v>2</v>
      </c>
    </row>
    <row r="555" spans="1:5">
      <c r="B555">
        <v>30</v>
      </c>
      <c r="C555" t="s">
        <v>61</v>
      </c>
      <c r="D555" t="s">
        <v>47</v>
      </c>
      <c r="E555" s="51">
        <v>7</v>
      </c>
    </row>
    <row r="556" spans="1:5">
      <c r="A556" t="s">
        <v>32</v>
      </c>
      <c r="B556">
        <v>1</v>
      </c>
      <c r="C556" t="s">
        <v>57</v>
      </c>
      <c r="D556" t="s">
        <v>46</v>
      </c>
      <c r="E556" s="51">
        <v>2</v>
      </c>
    </row>
    <row r="557" spans="1:5">
      <c r="B557">
        <v>5</v>
      </c>
      <c r="C557" t="s">
        <v>58</v>
      </c>
      <c r="D557" t="s">
        <v>46</v>
      </c>
      <c r="E557" s="51">
        <v>3</v>
      </c>
    </row>
    <row r="558" spans="1:5">
      <c r="B558">
        <v>6</v>
      </c>
      <c r="C558" t="s">
        <v>59</v>
      </c>
      <c r="D558" t="s">
        <v>46</v>
      </c>
      <c r="E558" s="51">
        <v>6</v>
      </c>
    </row>
    <row r="559" spans="1:5">
      <c r="B559">
        <v>7</v>
      </c>
      <c r="C559" t="s">
        <v>60</v>
      </c>
      <c r="D559" t="s">
        <v>46</v>
      </c>
      <c r="E559" s="51">
        <v>4</v>
      </c>
    </row>
    <row r="560" spans="1:5">
      <c r="B560">
        <v>8</v>
      </c>
      <c r="C560" t="s">
        <v>57</v>
      </c>
      <c r="D560" t="s">
        <v>46</v>
      </c>
      <c r="E560" s="51">
        <v>4</v>
      </c>
    </row>
    <row r="561" spans="2:5">
      <c r="B561">
        <v>9</v>
      </c>
      <c r="C561" t="s">
        <v>61</v>
      </c>
      <c r="D561" t="s">
        <v>46</v>
      </c>
      <c r="E561" s="51">
        <v>4</v>
      </c>
    </row>
    <row r="562" spans="2:5">
      <c r="B562">
        <v>10</v>
      </c>
      <c r="C562" t="s">
        <v>64</v>
      </c>
      <c r="D562" t="s">
        <v>46</v>
      </c>
      <c r="E562" s="51">
        <v>3</v>
      </c>
    </row>
    <row r="563" spans="2:5">
      <c r="B563">
        <v>12</v>
      </c>
      <c r="C563" t="s">
        <v>58</v>
      </c>
      <c r="D563" t="s">
        <v>46</v>
      </c>
      <c r="E563" s="51">
        <v>4</v>
      </c>
    </row>
    <row r="564" spans="2:5">
      <c r="B564">
        <v>13</v>
      </c>
      <c r="C564" t="s">
        <v>59</v>
      </c>
      <c r="D564" t="s">
        <v>46</v>
      </c>
      <c r="E564" s="51">
        <v>4</v>
      </c>
    </row>
    <row r="565" spans="2:5">
      <c r="B565">
        <v>14</v>
      </c>
      <c r="C565" t="s">
        <v>60</v>
      </c>
      <c r="D565" t="s">
        <v>46</v>
      </c>
      <c r="E565" s="51">
        <v>1</v>
      </c>
    </row>
    <row r="566" spans="2:5">
      <c r="B566">
        <v>15</v>
      </c>
      <c r="C566" t="s">
        <v>57</v>
      </c>
      <c r="D566" t="s">
        <v>46</v>
      </c>
      <c r="E566" s="51">
        <v>4</v>
      </c>
    </row>
    <row r="567" spans="2:5">
      <c r="B567">
        <v>16</v>
      </c>
      <c r="C567" t="s">
        <v>61</v>
      </c>
      <c r="D567" t="s">
        <v>46</v>
      </c>
      <c r="E567" s="51">
        <v>4</v>
      </c>
    </row>
    <row r="568" spans="2:5">
      <c r="B568">
        <v>19</v>
      </c>
      <c r="C568" t="s">
        <v>58</v>
      </c>
      <c r="D568" t="s">
        <v>46</v>
      </c>
      <c r="E568" s="51">
        <v>5</v>
      </c>
    </row>
    <row r="569" spans="2:5">
      <c r="B569">
        <v>20</v>
      </c>
      <c r="C569" t="s">
        <v>59</v>
      </c>
      <c r="D569" t="s">
        <v>46</v>
      </c>
      <c r="E569" s="51">
        <v>2</v>
      </c>
    </row>
    <row r="570" spans="2:5">
      <c r="B570">
        <v>22</v>
      </c>
      <c r="C570" t="s">
        <v>57</v>
      </c>
      <c r="D570" t="s">
        <v>46</v>
      </c>
      <c r="E570" s="51">
        <v>1</v>
      </c>
    </row>
    <row r="571" spans="2:5">
      <c r="B571">
        <v>23</v>
      </c>
      <c r="C571" t="s">
        <v>61</v>
      </c>
      <c r="D571" t="s">
        <v>46</v>
      </c>
      <c r="E571" s="51">
        <v>1</v>
      </c>
    </row>
    <row r="572" spans="2:5">
      <c r="B572">
        <v>26</v>
      </c>
      <c r="C572" t="s">
        <v>58</v>
      </c>
      <c r="D572" t="s">
        <v>46</v>
      </c>
      <c r="E572" s="51">
        <v>2</v>
      </c>
    </row>
    <row r="573" spans="2:5">
      <c r="B573">
        <v>27</v>
      </c>
      <c r="C573" t="s">
        <v>59</v>
      </c>
      <c r="D573" t="s">
        <v>46</v>
      </c>
      <c r="E573" s="51">
        <v>4</v>
      </c>
    </row>
    <row r="574" spans="2:5">
      <c r="B574">
        <v>28</v>
      </c>
      <c r="C574" t="s">
        <v>60</v>
      </c>
      <c r="D574" t="s">
        <v>46</v>
      </c>
      <c r="E574" s="51">
        <v>2</v>
      </c>
    </row>
    <row r="575" spans="2:5">
      <c r="B575">
        <v>29</v>
      </c>
      <c r="C575" t="s">
        <v>57</v>
      </c>
      <c r="D575" t="s">
        <v>46</v>
      </c>
      <c r="E575" s="51">
        <v>2</v>
      </c>
    </row>
    <row r="576" spans="2:5">
      <c r="B576">
        <v>30</v>
      </c>
      <c r="C576" t="s">
        <v>61</v>
      </c>
      <c r="D576" t="s">
        <v>46</v>
      </c>
      <c r="E576" s="51">
        <v>5</v>
      </c>
    </row>
    <row r="577" spans="1:5">
      <c r="A577" t="s">
        <v>21</v>
      </c>
      <c r="B577">
        <v>1</v>
      </c>
      <c r="C577" t="s">
        <v>57</v>
      </c>
      <c r="D577" t="s">
        <v>47</v>
      </c>
      <c r="E577" s="51">
        <v>1</v>
      </c>
    </row>
    <row r="578" spans="1:5">
      <c r="B578">
        <v>5</v>
      </c>
      <c r="C578" t="s">
        <v>58</v>
      </c>
      <c r="D578" t="s">
        <v>46</v>
      </c>
      <c r="E578" s="51">
        <v>2</v>
      </c>
    </row>
    <row r="579" spans="1:5">
      <c r="B579">
        <v>6</v>
      </c>
      <c r="C579" t="s">
        <v>59</v>
      </c>
      <c r="D579" t="s">
        <v>47</v>
      </c>
      <c r="E579" s="51">
        <v>2</v>
      </c>
    </row>
    <row r="580" spans="1:5">
      <c r="B580">
        <v>7</v>
      </c>
      <c r="C580" t="s">
        <v>60</v>
      </c>
      <c r="D580" t="s">
        <v>46</v>
      </c>
      <c r="E580" s="51">
        <v>2</v>
      </c>
    </row>
    <row r="581" spans="1:5">
      <c r="B581">
        <v>8</v>
      </c>
      <c r="C581" t="s">
        <v>57</v>
      </c>
      <c r="D581" t="s">
        <v>47</v>
      </c>
      <c r="E581" s="51">
        <v>2</v>
      </c>
    </row>
    <row r="582" spans="1:5">
      <c r="B582">
        <v>9</v>
      </c>
      <c r="C582" t="s">
        <v>61</v>
      </c>
      <c r="D582" t="s">
        <v>46</v>
      </c>
      <c r="E582" s="51">
        <v>1</v>
      </c>
    </row>
    <row r="583" spans="1:5">
      <c r="B583">
        <v>12</v>
      </c>
      <c r="C583" t="s">
        <v>58</v>
      </c>
      <c r="D583" t="s">
        <v>47</v>
      </c>
      <c r="E583" s="51">
        <v>1</v>
      </c>
    </row>
    <row r="584" spans="1:5">
      <c r="B584">
        <v>13</v>
      </c>
      <c r="C584" t="s">
        <v>59</v>
      </c>
      <c r="D584" t="s">
        <v>46</v>
      </c>
      <c r="E584" s="51">
        <v>2</v>
      </c>
    </row>
    <row r="585" spans="1:5">
      <c r="B585">
        <v>14</v>
      </c>
      <c r="C585" t="s">
        <v>60</v>
      </c>
      <c r="D585" t="s">
        <v>47</v>
      </c>
      <c r="E585" s="51">
        <v>2</v>
      </c>
    </row>
    <row r="586" spans="1:5">
      <c r="B586">
        <v>15</v>
      </c>
      <c r="C586" t="s">
        <v>57</v>
      </c>
      <c r="D586" t="s">
        <v>46</v>
      </c>
      <c r="E586" s="51">
        <v>2</v>
      </c>
    </row>
    <row r="587" spans="1:5">
      <c r="B587">
        <v>16</v>
      </c>
      <c r="C587" t="s">
        <v>61</v>
      </c>
      <c r="D587" t="s">
        <v>47</v>
      </c>
      <c r="E587" s="51">
        <v>1</v>
      </c>
    </row>
    <row r="588" spans="1:5">
      <c r="B588">
        <v>19</v>
      </c>
      <c r="C588" t="s">
        <v>58</v>
      </c>
      <c r="D588" t="s">
        <v>46</v>
      </c>
      <c r="E588" s="51">
        <v>1</v>
      </c>
    </row>
    <row r="589" spans="1:5">
      <c r="B589">
        <v>22</v>
      </c>
      <c r="C589" t="s">
        <v>57</v>
      </c>
      <c r="D589" t="s">
        <v>47</v>
      </c>
      <c r="E589" s="51">
        <v>2</v>
      </c>
    </row>
    <row r="590" spans="1:5">
      <c r="B590">
        <v>23</v>
      </c>
      <c r="C590" t="s">
        <v>61</v>
      </c>
      <c r="D590" t="s">
        <v>46</v>
      </c>
      <c r="E590" s="51">
        <v>1</v>
      </c>
    </row>
    <row r="591" spans="1:5">
      <c r="B591">
        <v>26</v>
      </c>
      <c r="C591" t="s">
        <v>58</v>
      </c>
      <c r="D591" t="s">
        <v>47</v>
      </c>
      <c r="E591" s="51">
        <v>1</v>
      </c>
    </row>
    <row r="592" spans="1:5">
      <c r="B592">
        <v>27</v>
      </c>
      <c r="C592" t="s">
        <v>59</v>
      </c>
      <c r="D592" t="s">
        <v>46</v>
      </c>
      <c r="E592" s="51">
        <v>2</v>
      </c>
    </row>
    <row r="593" spans="1:5">
      <c r="B593">
        <v>28</v>
      </c>
      <c r="C593" t="s">
        <v>60</v>
      </c>
      <c r="D593" t="s">
        <v>47</v>
      </c>
      <c r="E593" s="51">
        <v>2</v>
      </c>
    </row>
    <row r="594" spans="1:5">
      <c r="B594">
        <v>29</v>
      </c>
      <c r="C594" t="s">
        <v>57</v>
      </c>
      <c r="D594" t="s">
        <v>46</v>
      </c>
      <c r="E594" s="51">
        <v>2</v>
      </c>
    </row>
    <row r="595" spans="1:5">
      <c r="B595">
        <v>30</v>
      </c>
      <c r="C595" t="s">
        <v>61</v>
      </c>
      <c r="D595" t="s">
        <v>47</v>
      </c>
      <c r="E595" s="51">
        <v>1</v>
      </c>
    </row>
    <row r="596" spans="1:5">
      <c r="A596" t="s">
        <v>14</v>
      </c>
      <c r="B596">
        <v>1</v>
      </c>
      <c r="C596" t="s">
        <v>57</v>
      </c>
      <c r="D596" t="s">
        <v>46</v>
      </c>
      <c r="E596" s="51">
        <v>1</v>
      </c>
    </row>
    <row r="597" spans="1:5">
      <c r="D597" t="s">
        <v>47</v>
      </c>
      <c r="E597" s="51">
        <v>2</v>
      </c>
    </row>
    <row r="598" spans="1:5">
      <c r="B598">
        <v>5</v>
      </c>
      <c r="C598" t="s">
        <v>58</v>
      </c>
      <c r="D598" t="s">
        <v>47</v>
      </c>
      <c r="E598" s="51">
        <v>1</v>
      </c>
    </row>
    <row r="599" spans="1:5">
      <c r="B599">
        <v>6</v>
      </c>
      <c r="C599" t="s">
        <v>59</v>
      </c>
      <c r="D599" t="s">
        <v>46</v>
      </c>
      <c r="E599" s="51">
        <v>2</v>
      </c>
    </row>
    <row r="600" spans="1:5">
      <c r="B600">
        <v>7</v>
      </c>
      <c r="C600" t="s">
        <v>60</v>
      </c>
      <c r="D600" t="s">
        <v>47</v>
      </c>
      <c r="E600" s="51">
        <v>2</v>
      </c>
    </row>
    <row r="601" spans="1:5">
      <c r="B601">
        <v>8</v>
      </c>
      <c r="C601" t="s">
        <v>57</v>
      </c>
      <c r="D601" t="s">
        <v>46</v>
      </c>
      <c r="E601" s="51">
        <v>1</v>
      </c>
    </row>
    <row r="602" spans="1:5">
      <c r="B602">
        <v>9</v>
      </c>
      <c r="C602" t="s">
        <v>61</v>
      </c>
      <c r="D602" t="s">
        <v>46</v>
      </c>
      <c r="E602" s="51">
        <v>2</v>
      </c>
    </row>
    <row r="603" spans="1:5">
      <c r="D603" t="s">
        <v>47</v>
      </c>
      <c r="E603" s="51">
        <v>3</v>
      </c>
    </row>
    <row r="604" spans="1:5">
      <c r="B604">
        <v>12</v>
      </c>
      <c r="C604" t="s">
        <v>58</v>
      </c>
      <c r="D604" t="s">
        <v>46</v>
      </c>
      <c r="E604" s="51">
        <v>3</v>
      </c>
    </row>
    <row r="605" spans="1:5">
      <c r="D605" t="s">
        <v>47</v>
      </c>
      <c r="E605" s="51">
        <v>1</v>
      </c>
    </row>
    <row r="606" spans="1:5">
      <c r="B606">
        <v>13</v>
      </c>
      <c r="C606" t="s">
        <v>59</v>
      </c>
      <c r="D606" t="s">
        <v>46</v>
      </c>
      <c r="E606" s="51">
        <v>1</v>
      </c>
    </row>
    <row r="607" spans="1:5">
      <c r="D607" t="s">
        <v>47</v>
      </c>
      <c r="E607" s="51">
        <v>3</v>
      </c>
    </row>
    <row r="608" spans="1:5">
      <c r="B608">
        <v>14</v>
      </c>
      <c r="C608" t="s">
        <v>60</v>
      </c>
      <c r="D608" t="s">
        <v>46</v>
      </c>
      <c r="E608" s="51">
        <v>4</v>
      </c>
    </row>
    <row r="609" spans="2:5">
      <c r="D609" t="s">
        <v>47</v>
      </c>
      <c r="E609" s="51">
        <v>2</v>
      </c>
    </row>
    <row r="610" spans="2:5">
      <c r="B610">
        <v>15</v>
      </c>
      <c r="C610" t="s">
        <v>57</v>
      </c>
      <c r="D610" t="s">
        <v>46</v>
      </c>
      <c r="E610" s="51">
        <v>1</v>
      </c>
    </row>
    <row r="611" spans="2:5">
      <c r="D611" t="s">
        <v>47</v>
      </c>
      <c r="E611" s="51">
        <v>2</v>
      </c>
    </row>
    <row r="612" spans="2:5">
      <c r="B612">
        <v>16</v>
      </c>
      <c r="C612" t="s">
        <v>61</v>
      </c>
      <c r="D612" t="s">
        <v>46</v>
      </c>
      <c r="E612" s="51">
        <v>2</v>
      </c>
    </row>
    <row r="613" spans="2:5">
      <c r="D613" t="s">
        <v>47</v>
      </c>
      <c r="E613" s="51">
        <v>4</v>
      </c>
    </row>
    <row r="614" spans="2:5">
      <c r="B614">
        <v>19</v>
      </c>
      <c r="C614" t="s">
        <v>58</v>
      </c>
      <c r="D614" t="s">
        <v>46</v>
      </c>
      <c r="E614" s="51">
        <v>3</v>
      </c>
    </row>
    <row r="615" spans="2:5">
      <c r="D615" t="s">
        <v>47</v>
      </c>
      <c r="E615" s="51">
        <v>1</v>
      </c>
    </row>
    <row r="616" spans="2:5">
      <c r="B616">
        <v>20</v>
      </c>
      <c r="C616" t="s">
        <v>59</v>
      </c>
      <c r="D616" t="s">
        <v>46</v>
      </c>
      <c r="E616" s="51">
        <v>2</v>
      </c>
    </row>
    <row r="617" spans="2:5">
      <c r="D617" t="s">
        <v>47</v>
      </c>
      <c r="E617" s="51">
        <v>4</v>
      </c>
    </row>
    <row r="618" spans="2:5">
      <c r="B618">
        <v>22</v>
      </c>
      <c r="C618" t="s">
        <v>57</v>
      </c>
      <c r="D618" t="s">
        <v>46</v>
      </c>
      <c r="E618" s="51">
        <v>3</v>
      </c>
    </row>
    <row r="619" spans="2:5">
      <c r="D619" t="s">
        <v>47</v>
      </c>
      <c r="E619" s="51">
        <v>1</v>
      </c>
    </row>
    <row r="620" spans="2:5">
      <c r="B620">
        <v>23</v>
      </c>
      <c r="C620" t="s">
        <v>61</v>
      </c>
      <c r="D620" t="s">
        <v>46</v>
      </c>
      <c r="E620" s="51">
        <v>1</v>
      </c>
    </row>
    <row r="621" spans="2:5">
      <c r="D621" t="s">
        <v>47</v>
      </c>
      <c r="E621" s="51">
        <v>3</v>
      </c>
    </row>
    <row r="622" spans="2:5">
      <c r="B622">
        <v>26</v>
      </c>
      <c r="C622" t="s">
        <v>58</v>
      </c>
      <c r="D622" t="s">
        <v>46</v>
      </c>
      <c r="E622" s="51">
        <v>4</v>
      </c>
    </row>
    <row r="623" spans="2:5">
      <c r="D623" t="s">
        <v>47</v>
      </c>
      <c r="E623" s="51">
        <v>2</v>
      </c>
    </row>
    <row r="624" spans="2:5">
      <c r="B624">
        <v>27</v>
      </c>
      <c r="C624" t="s">
        <v>59</v>
      </c>
      <c r="D624" t="s">
        <v>46</v>
      </c>
      <c r="E624" s="51">
        <v>1</v>
      </c>
    </row>
    <row r="625" spans="1:5">
      <c r="D625" t="s">
        <v>47</v>
      </c>
      <c r="E625" s="51">
        <v>4</v>
      </c>
    </row>
    <row r="626" spans="1:5">
      <c r="B626">
        <v>28</v>
      </c>
      <c r="C626" t="s">
        <v>60</v>
      </c>
      <c r="D626" t="s">
        <v>46</v>
      </c>
      <c r="E626" s="51">
        <v>3</v>
      </c>
    </row>
    <row r="627" spans="1:5">
      <c r="D627" t="s">
        <v>47</v>
      </c>
      <c r="E627" s="51">
        <v>1</v>
      </c>
    </row>
    <row r="628" spans="1:5">
      <c r="B628">
        <v>29</v>
      </c>
      <c r="C628" t="s">
        <v>57</v>
      </c>
      <c r="D628" t="s">
        <v>46</v>
      </c>
      <c r="E628" s="51">
        <v>2</v>
      </c>
    </row>
    <row r="629" spans="1:5">
      <c r="D629" t="s">
        <v>47</v>
      </c>
      <c r="E629" s="51">
        <v>2</v>
      </c>
    </row>
    <row r="630" spans="1:5">
      <c r="B630">
        <v>30</v>
      </c>
      <c r="C630" t="s">
        <v>61</v>
      </c>
      <c r="D630" t="s">
        <v>46</v>
      </c>
      <c r="E630" s="51">
        <v>2</v>
      </c>
    </row>
    <row r="631" spans="1:5">
      <c r="D631" t="s">
        <v>47</v>
      </c>
      <c r="E631" s="51">
        <v>1</v>
      </c>
    </row>
    <row r="632" spans="1:5">
      <c r="A632" t="s">
        <v>31</v>
      </c>
      <c r="B632">
        <v>1</v>
      </c>
      <c r="C632" t="s">
        <v>57</v>
      </c>
      <c r="D632" t="s">
        <v>46</v>
      </c>
      <c r="E632" s="51">
        <v>3</v>
      </c>
    </row>
    <row r="633" spans="1:5">
      <c r="B633">
        <v>5</v>
      </c>
      <c r="C633" t="s">
        <v>58</v>
      </c>
      <c r="D633" t="s">
        <v>46</v>
      </c>
      <c r="E633" s="51">
        <v>8</v>
      </c>
    </row>
    <row r="634" spans="1:5">
      <c r="B634">
        <v>6</v>
      </c>
      <c r="C634" t="s">
        <v>59</v>
      </c>
      <c r="D634" t="s">
        <v>46</v>
      </c>
      <c r="E634" s="51">
        <v>3</v>
      </c>
    </row>
    <row r="635" spans="1:5">
      <c r="B635">
        <v>7</v>
      </c>
      <c r="C635" t="s">
        <v>60</v>
      </c>
      <c r="D635" t="s">
        <v>46</v>
      </c>
      <c r="E635" s="51">
        <v>5</v>
      </c>
    </row>
    <row r="636" spans="1:5">
      <c r="B636">
        <v>8</v>
      </c>
      <c r="C636" t="s">
        <v>57</v>
      </c>
      <c r="D636" t="s">
        <v>46</v>
      </c>
      <c r="E636" s="51">
        <v>3</v>
      </c>
    </row>
    <row r="637" spans="1:5">
      <c r="B637">
        <v>9</v>
      </c>
      <c r="C637" t="s">
        <v>61</v>
      </c>
      <c r="D637" t="s">
        <v>46</v>
      </c>
      <c r="E637" s="51">
        <v>3</v>
      </c>
    </row>
    <row r="638" spans="1:5">
      <c r="B638">
        <v>12</v>
      </c>
      <c r="C638" t="s">
        <v>58</v>
      </c>
      <c r="D638" t="s">
        <v>46</v>
      </c>
      <c r="E638" s="51">
        <v>1</v>
      </c>
    </row>
    <row r="639" spans="1:5">
      <c r="B639">
        <v>13</v>
      </c>
      <c r="C639" t="s">
        <v>59</v>
      </c>
      <c r="D639" t="s">
        <v>46</v>
      </c>
      <c r="E639" s="51">
        <v>1</v>
      </c>
    </row>
    <row r="640" spans="1:5">
      <c r="B640">
        <v>14</v>
      </c>
      <c r="C640" t="s">
        <v>60</v>
      </c>
      <c r="D640" t="s">
        <v>46</v>
      </c>
      <c r="E640" s="51">
        <v>1</v>
      </c>
    </row>
    <row r="641" spans="1:5">
      <c r="B641">
        <v>15</v>
      </c>
      <c r="C641" t="s">
        <v>57</v>
      </c>
      <c r="D641" t="s">
        <v>46</v>
      </c>
      <c r="E641" s="51">
        <v>3</v>
      </c>
    </row>
    <row r="642" spans="1:5">
      <c r="B642">
        <v>16</v>
      </c>
      <c r="C642" t="s">
        <v>61</v>
      </c>
      <c r="D642" t="s">
        <v>46</v>
      </c>
      <c r="E642" s="51">
        <v>2</v>
      </c>
    </row>
    <row r="643" spans="1:5">
      <c r="B643">
        <v>17</v>
      </c>
      <c r="C643" t="s">
        <v>64</v>
      </c>
      <c r="D643" t="s">
        <v>46</v>
      </c>
      <c r="E643" s="51">
        <v>3</v>
      </c>
    </row>
    <row r="644" spans="1:5">
      <c r="B644">
        <v>19</v>
      </c>
      <c r="C644" t="s">
        <v>58</v>
      </c>
      <c r="D644" t="s">
        <v>46</v>
      </c>
      <c r="E644" s="51">
        <v>2</v>
      </c>
    </row>
    <row r="645" spans="1:5">
      <c r="B645">
        <v>20</v>
      </c>
      <c r="C645" t="s">
        <v>59</v>
      </c>
      <c r="D645" t="s">
        <v>46</v>
      </c>
      <c r="E645" s="51">
        <v>1</v>
      </c>
    </row>
    <row r="646" spans="1:5">
      <c r="B646">
        <v>22</v>
      </c>
      <c r="C646" t="s">
        <v>57</v>
      </c>
      <c r="D646" t="s">
        <v>46</v>
      </c>
      <c r="E646" s="51">
        <v>3</v>
      </c>
    </row>
    <row r="647" spans="1:5">
      <c r="B647">
        <v>23</v>
      </c>
      <c r="C647" t="s">
        <v>61</v>
      </c>
      <c r="D647" t="s">
        <v>46</v>
      </c>
      <c r="E647" s="51">
        <v>2</v>
      </c>
    </row>
    <row r="648" spans="1:5">
      <c r="B648">
        <v>26</v>
      </c>
      <c r="C648" t="s">
        <v>58</v>
      </c>
      <c r="D648" t="s">
        <v>46</v>
      </c>
      <c r="E648" s="51">
        <v>1</v>
      </c>
    </row>
    <row r="649" spans="1:5">
      <c r="B649">
        <v>27</v>
      </c>
      <c r="C649" t="s">
        <v>59</v>
      </c>
      <c r="D649" t="s">
        <v>46</v>
      </c>
      <c r="E649" s="51">
        <v>2</v>
      </c>
    </row>
    <row r="650" spans="1:5">
      <c r="B650">
        <v>28</v>
      </c>
      <c r="C650" t="s">
        <v>60</v>
      </c>
      <c r="D650" t="s">
        <v>46</v>
      </c>
      <c r="E650" s="51">
        <v>1</v>
      </c>
    </row>
    <row r="651" spans="1:5">
      <c r="B651">
        <v>29</v>
      </c>
      <c r="C651" t="s">
        <v>57</v>
      </c>
      <c r="D651" t="s">
        <v>46</v>
      </c>
      <c r="E651" s="51">
        <v>2</v>
      </c>
    </row>
    <row r="652" spans="1:5">
      <c r="B652">
        <v>30</v>
      </c>
      <c r="C652" t="s">
        <v>61</v>
      </c>
      <c r="D652" t="s">
        <v>46</v>
      </c>
      <c r="E652" s="51">
        <v>4</v>
      </c>
    </row>
    <row r="653" spans="1:5">
      <c r="A653" t="s">
        <v>17</v>
      </c>
      <c r="B653">
        <v>1</v>
      </c>
      <c r="C653" t="s">
        <v>57</v>
      </c>
      <c r="D653" t="s">
        <v>46</v>
      </c>
      <c r="E653" s="51">
        <v>2</v>
      </c>
    </row>
    <row r="654" spans="1:5">
      <c r="B654">
        <v>5</v>
      </c>
      <c r="C654" t="s">
        <v>58</v>
      </c>
      <c r="D654" t="s">
        <v>46</v>
      </c>
      <c r="E654" s="51">
        <v>2</v>
      </c>
    </row>
    <row r="655" spans="1:5">
      <c r="B655">
        <v>6</v>
      </c>
      <c r="C655" t="s">
        <v>59</v>
      </c>
      <c r="D655" t="s">
        <v>46</v>
      </c>
      <c r="E655" s="51">
        <v>1</v>
      </c>
    </row>
    <row r="656" spans="1:5">
      <c r="B656">
        <v>7</v>
      </c>
      <c r="C656" t="s">
        <v>60</v>
      </c>
      <c r="D656" t="s">
        <v>46</v>
      </c>
      <c r="E656" s="51">
        <v>1</v>
      </c>
    </row>
    <row r="657" spans="2:5">
      <c r="B657">
        <v>8</v>
      </c>
      <c r="C657" t="s">
        <v>57</v>
      </c>
      <c r="D657" t="s">
        <v>46</v>
      </c>
      <c r="E657" s="51">
        <v>2</v>
      </c>
    </row>
    <row r="658" spans="2:5">
      <c r="B658">
        <v>9</v>
      </c>
      <c r="C658" t="s">
        <v>61</v>
      </c>
      <c r="D658" t="s">
        <v>46</v>
      </c>
      <c r="E658" s="51">
        <v>2</v>
      </c>
    </row>
    <row r="659" spans="2:5">
      <c r="B659">
        <v>12</v>
      </c>
      <c r="C659" t="s">
        <v>58</v>
      </c>
      <c r="D659" t="s">
        <v>46</v>
      </c>
      <c r="E659" s="51">
        <v>2</v>
      </c>
    </row>
    <row r="660" spans="2:5">
      <c r="B660">
        <v>13</v>
      </c>
      <c r="C660" t="s">
        <v>59</v>
      </c>
      <c r="D660" t="s">
        <v>46</v>
      </c>
      <c r="E660" s="51">
        <v>2</v>
      </c>
    </row>
    <row r="661" spans="2:5">
      <c r="B661">
        <v>14</v>
      </c>
      <c r="C661" t="s">
        <v>60</v>
      </c>
      <c r="D661" t="s">
        <v>46</v>
      </c>
      <c r="E661" s="51">
        <v>2</v>
      </c>
    </row>
    <row r="662" spans="2:5">
      <c r="B662">
        <v>15</v>
      </c>
      <c r="C662" t="s">
        <v>57</v>
      </c>
      <c r="D662" t="s">
        <v>46</v>
      </c>
      <c r="E662" s="51">
        <v>1</v>
      </c>
    </row>
    <row r="663" spans="2:5">
      <c r="B663">
        <v>16</v>
      </c>
      <c r="C663" t="s">
        <v>61</v>
      </c>
      <c r="D663" t="s">
        <v>46</v>
      </c>
      <c r="E663" s="51">
        <v>1</v>
      </c>
    </row>
    <row r="664" spans="2:5">
      <c r="B664">
        <v>19</v>
      </c>
      <c r="C664" t="s">
        <v>58</v>
      </c>
      <c r="D664" t="s">
        <v>46</v>
      </c>
      <c r="E664" s="51">
        <v>1</v>
      </c>
    </row>
    <row r="665" spans="2:5">
      <c r="B665">
        <v>20</v>
      </c>
      <c r="C665" t="s">
        <v>59</v>
      </c>
      <c r="D665" t="s">
        <v>46</v>
      </c>
      <c r="E665" s="51">
        <v>1</v>
      </c>
    </row>
    <row r="666" spans="2:5">
      <c r="B666">
        <v>22</v>
      </c>
      <c r="C666" t="s">
        <v>57</v>
      </c>
      <c r="D666" t="s">
        <v>46</v>
      </c>
      <c r="E666" s="51">
        <v>1</v>
      </c>
    </row>
    <row r="667" spans="2:5">
      <c r="B667">
        <v>23</v>
      </c>
      <c r="C667" t="s">
        <v>61</v>
      </c>
      <c r="D667" t="s">
        <v>46</v>
      </c>
      <c r="E667" s="51">
        <v>1</v>
      </c>
    </row>
    <row r="668" spans="2:5">
      <c r="B668">
        <v>26</v>
      </c>
      <c r="C668" t="s">
        <v>58</v>
      </c>
      <c r="D668" t="s">
        <v>46</v>
      </c>
      <c r="E668" s="51">
        <v>2</v>
      </c>
    </row>
    <row r="669" spans="2:5">
      <c r="B669">
        <v>27</v>
      </c>
      <c r="C669" t="s">
        <v>59</v>
      </c>
      <c r="D669" t="s">
        <v>46</v>
      </c>
      <c r="E669" s="51">
        <v>1</v>
      </c>
    </row>
    <row r="670" spans="2:5">
      <c r="B670">
        <v>28</v>
      </c>
      <c r="C670" t="s">
        <v>60</v>
      </c>
      <c r="D670" t="s">
        <v>46</v>
      </c>
      <c r="E670" s="51">
        <v>2</v>
      </c>
    </row>
    <row r="671" spans="2:5">
      <c r="B671">
        <v>29</v>
      </c>
      <c r="C671" t="s">
        <v>57</v>
      </c>
      <c r="D671" t="s">
        <v>46</v>
      </c>
      <c r="E671" s="51">
        <v>1</v>
      </c>
    </row>
    <row r="672" spans="2:5">
      <c r="B672">
        <v>30</v>
      </c>
      <c r="C672" t="s">
        <v>61</v>
      </c>
      <c r="D672" t="s">
        <v>46</v>
      </c>
      <c r="E672" s="51">
        <v>2</v>
      </c>
    </row>
    <row r="673" spans="1:5">
      <c r="A673" t="s">
        <v>12</v>
      </c>
      <c r="B673">
        <v>1</v>
      </c>
      <c r="C673" t="s">
        <v>57</v>
      </c>
      <c r="D673" t="s">
        <v>47</v>
      </c>
      <c r="E673" s="51">
        <v>1</v>
      </c>
    </row>
    <row r="674" spans="1:5">
      <c r="B674">
        <v>5</v>
      </c>
      <c r="C674" t="s">
        <v>58</v>
      </c>
      <c r="D674" t="s">
        <v>47</v>
      </c>
      <c r="E674" s="51">
        <v>1</v>
      </c>
    </row>
    <row r="675" spans="1:5">
      <c r="B675">
        <v>6</v>
      </c>
      <c r="C675" t="s">
        <v>59</v>
      </c>
      <c r="D675" t="s">
        <v>47</v>
      </c>
      <c r="E675" s="51">
        <v>2</v>
      </c>
    </row>
    <row r="676" spans="1:5">
      <c r="B676">
        <v>7</v>
      </c>
      <c r="C676" t="s">
        <v>60</v>
      </c>
      <c r="D676" t="s">
        <v>47</v>
      </c>
      <c r="E676" s="51">
        <v>2</v>
      </c>
    </row>
    <row r="677" spans="1:5">
      <c r="B677">
        <v>8</v>
      </c>
      <c r="C677" t="s">
        <v>57</v>
      </c>
      <c r="D677" t="s">
        <v>47</v>
      </c>
      <c r="E677" s="51">
        <v>1</v>
      </c>
    </row>
    <row r="678" spans="1:5">
      <c r="B678">
        <v>9</v>
      </c>
      <c r="C678" t="s">
        <v>61</v>
      </c>
      <c r="D678" t="s">
        <v>47</v>
      </c>
      <c r="E678" s="51">
        <v>2</v>
      </c>
    </row>
    <row r="679" spans="1:5">
      <c r="B679">
        <v>12</v>
      </c>
      <c r="C679" t="s">
        <v>58</v>
      </c>
      <c r="D679" t="s">
        <v>47</v>
      </c>
      <c r="E679" s="51">
        <v>1</v>
      </c>
    </row>
    <row r="680" spans="1:5">
      <c r="B680">
        <v>13</v>
      </c>
      <c r="C680" t="s">
        <v>59</v>
      </c>
      <c r="D680" t="s">
        <v>47</v>
      </c>
      <c r="E680" s="51">
        <v>2</v>
      </c>
    </row>
    <row r="681" spans="1:5">
      <c r="B681">
        <v>14</v>
      </c>
      <c r="C681" t="s">
        <v>60</v>
      </c>
      <c r="D681" t="s">
        <v>47</v>
      </c>
      <c r="E681" s="51">
        <v>2</v>
      </c>
    </row>
    <row r="682" spans="1:5">
      <c r="B682">
        <v>15</v>
      </c>
      <c r="C682" t="s">
        <v>57</v>
      </c>
      <c r="D682" t="s">
        <v>47</v>
      </c>
      <c r="E682" s="51">
        <v>1</v>
      </c>
    </row>
    <row r="683" spans="1:5">
      <c r="B683">
        <v>16</v>
      </c>
      <c r="C683" t="s">
        <v>61</v>
      </c>
      <c r="D683" t="s">
        <v>47</v>
      </c>
      <c r="E683" s="51">
        <v>1</v>
      </c>
    </row>
    <row r="684" spans="1:5">
      <c r="B684">
        <v>19</v>
      </c>
      <c r="C684" t="s">
        <v>58</v>
      </c>
      <c r="D684" t="s">
        <v>47</v>
      </c>
      <c r="E684" s="51">
        <v>2</v>
      </c>
    </row>
    <row r="685" spans="1:5">
      <c r="B685">
        <v>20</v>
      </c>
      <c r="C685" t="s">
        <v>59</v>
      </c>
      <c r="D685" t="s">
        <v>47</v>
      </c>
      <c r="E685" s="51">
        <v>1</v>
      </c>
    </row>
    <row r="686" spans="1:5">
      <c r="B686">
        <v>22</v>
      </c>
      <c r="C686" t="s">
        <v>57</v>
      </c>
      <c r="D686" t="s">
        <v>47</v>
      </c>
      <c r="E686" s="51">
        <v>2</v>
      </c>
    </row>
    <row r="687" spans="1:5">
      <c r="B687">
        <v>23</v>
      </c>
      <c r="C687" t="s">
        <v>61</v>
      </c>
      <c r="D687" t="s">
        <v>47</v>
      </c>
      <c r="E687" s="51">
        <v>2</v>
      </c>
    </row>
    <row r="688" spans="1:5">
      <c r="B688">
        <v>26</v>
      </c>
      <c r="C688" t="s">
        <v>58</v>
      </c>
      <c r="D688" t="s">
        <v>47</v>
      </c>
      <c r="E688" s="51">
        <v>2</v>
      </c>
    </row>
    <row r="689" spans="1:5">
      <c r="B689">
        <v>27</v>
      </c>
      <c r="C689" t="s">
        <v>59</v>
      </c>
      <c r="D689" t="s">
        <v>47</v>
      </c>
      <c r="E689" s="51">
        <v>2</v>
      </c>
    </row>
    <row r="690" spans="1:5">
      <c r="B690">
        <v>28</v>
      </c>
      <c r="C690" t="s">
        <v>60</v>
      </c>
      <c r="D690" t="s">
        <v>47</v>
      </c>
      <c r="E690" s="51">
        <v>1</v>
      </c>
    </row>
    <row r="691" spans="1:5">
      <c r="B691">
        <v>29</v>
      </c>
      <c r="C691" t="s">
        <v>57</v>
      </c>
      <c r="D691" t="s">
        <v>47</v>
      </c>
      <c r="E691" s="51">
        <v>1</v>
      </c>
    </row>
    <row r="692" spans="1:5">
      <c r="B692">
        <v>30</v>
      </c>
      <c r="C692" t="s">
        <v>61</v>
      </c>
      <c r="D692" t="s">
        <v>47</v>
      </c>
      <c r="E692" s="51">
        <v>1</v>
      </c>
    </row>
    <row r="693" spans="1:5">
      <c r="A693" t="s">
        <v>23</v>
      </c>
      <c r="B693">
        <v>1</v>
      </c>
      <c r="C693" t="s">
        <v>57</v>
      </c>
      <c r="D693" t="s">
        <v>47</v>
      </c>
      <c r="E693" s="51">
        <v>2</v>
      </c>
    </row>
    <row r="694" spans="1:5">
      <c r="A694" t="s">
        <v>8</v>
      </c>
      <c r="B694">
        <v>1</v>
      </c>
      <c r="C694" t="s">
        <v>57</v>
      </c>
      <c r="D694" t="s">
        <v>46</v>
      </c>
      <c r="E694" s="51">
        <v>2</v>
      </c>
    </row>
    <row r="695" spans="1:5">
      <c r="B695">
        <v>5</v>
      </c>
      <c r="C695" t="s">
        <v>58</v>
      </c>
      <c r="D695" t="s">
        <v>46</v>
      </c>
      <c r="E695" s="51">
        <v>2</v>
      </c>
    </row>
    <row r="696" spans="1:5">
      <c r="D696" t="s">
        <v>47</v>
      </c>
      <c r="E696" s="51">
        <v>2</v>
      </c>
    </row>
    <row r="697" spans="1:5">
      <c r="B697">
        <v>6</v>
      </c>
      <c r="C697" t="s">
        <v>59</v>
      </c>
      <c r="D697" t="s">
        <v>46</v>
      </c>
      <c r="E697" s="51">
        <v>2</v>
      </c>
    </row>
    <row r="698" spans="1:5">
      <c r="D698" t="s">
        <v>47</v>
      </c>
      <c r="E698" s="51">
        <v>2</v>
      </c>
    </row>
    <row r="699" spans="1:5">
      <c r="B699">
        <v>7</v>
      </c>
      <c r="C699" t="s">
        <v>60</v>
      </c>
      <c r="D699" t="s">
        <v>46</v>
      </c>
      <c r="E699" s="51">
        <v>2</v>
      </c>
    </row>
    <row r="700" spans="1:5">
      <c r="D700" t="s">
        <v>47</v>
      </c>
      <c r="E700" s="51">
        <v>3</v>
      </c>
    </row>
    <row r="701" spans="1:5">
      <c r="B701">
        <v>8</v>
      </c>
      <c r="C701" t="s">
        <v>57</v>
      </c>
      <c r="D701" t="s">
        <v>46</v>
      </c>
      <c r="E701" s="51">
        <v>2</v>
      </c>
    </row>
    <row r="702" spans="1:5">
      <c r="D702" t="s">
        <v>47</v>
      </c>
      <c r="E702" s="51">
        <v>1</v>
      </c>
    </row>
    <row r="703" spans="1:5">
      <c r="B703">
        <v>9</v>
      </c>
      <c r="C703" t="s">
        <v>61</v>
      </c>
      <c r="D703" t="s">
        <v>46</v>
      </c>
      <c r="E703" s="51">
        <v>1</v>
      </c>
    </row>
    <row r="704" spans="1:5">
      <c r="D704" t="s">
        <v>47</v>
      </c>
      <c r="E704" s="51">
        <v>4</v>
      </c>
    </row>
    <row r="705" spans="2:5">
      <c r="B705">
        <v>12</v>
      </c>
      <c r="C705" t="s">
        <v>58</v>
      </c>
      <c r="D705" t="s">
        <v>46</v>
      </c>
      <c r="E705" s="51">
        <v>3</v>
      </c>
    </row>
    <row r="706" spans="2:5">
      <c r="D706" t="s">
        <v>47</v>
      </c>
      <c r="E706" s="51">
        <v>1</v>
      </c>
    </row>
    <row r="707" spans="2:5">
      <c r="B707">
        <v>13</v>
      </c>
      <c r="C707" t="s">
        <v>59</v>
      </c>
      <c r="D707" t="s">
        <v>46</v>
      </c>
      <c r="E707" s="51">
        <v>2</v>
      </c>
    </row>
    <row r="708" spans="2:5">
      <c r="D708" t="s">
        <v>47</v>
      </c>
      <c r="E708" s="51">
        <v>4</v>
      </c>
    </row>
    <row r="709" spans="2:5">
      <c r="B709">
        <v>14</v>
      </c>
      <c r="C709" t="s">
        <v>60</v>
      </c>
      <c r="D709" t="s">
        <v>46</v>
      </c>
      <c r="E709" s="51">
        <v>4</v>
      </c>
    </row>
    <row r="710" spans="2:5">
      <c r="D710" t="s">
        <v>47</v>
      </c>
      <c r="E710" s="51">
        <v>1</v>
      </c>
    </row>
    <row r="711" spans="2:5">
      <c r="B711">
        <v>15</v>
      </c>
      <c r="C711" t="s">
        <v>57</v>
      </c>
      <c r="D711" t="s">
        <v>46</v>
      </c>
      <c r="E711" s="51">
        <v>1</v>
      </c>
    </row>
    <row r="712" spans="2:5">
      <c r="D712" t="s">
        <v>47</v>
      </c>
      <c r="E712" s="51">
        <v>3</v>
      </c>
    </row>
    <row r="713" spans="2:5">
      <c r="B713">
        <v>16</v>
      </c>
      <c r="C713" t="s">
        <v>61</v>
      </c>
      <c r="D713" t="s">
        <v>46</v>
      </c>
      <c r="E713" s="51">
        <v>2</v>
      </c>
    </row>
    <row r="714" spans="2:5">
      <c r="D714" t="s">
        <v>47</v>
      </c>
      <c r="E714" s="51">
        <v>2</v>
      </c>
    </row>
    <row r="715" spans="2:5">
      <c r="B715">
        <v>19</v>
      </c>
      <c r="C715" t="s">
        <v>58</v>
      </c>
      <c r="D715" t="s">
        <v>46</v>
      </c>
      <c r="E715" s="51">
        <v>2</v>
      </c>
    </row>
    <row r="716" spans="2:5">
      <c r="D716" t="s">
        <v>47</v>
      </c>
      <c r="E716" s="51">
        <v>2</v>
      </c>
    </row>
    <row r="717" spans="2:5">
      <c r="B717">
        <v>20</v>
      </c>
      <c r="C717" t="s">
        <v>59</v>
      </c>
      <c r="D717" t="s">
        <v>46</v>
      </c>
      <c r="E717" s="51">
        <v>1</v>
      </c>
    </row>
    <row r="718" spans="2:5">
      <c r="D718" t="s">
        <v>47</v>
      </c>
      <c r="E718" s="51">
        <v>2</v>
      </c>
    </row>
    <row r="719" spans="2:5">
      <c r="B719">
        <v>22</v>
      </c>
      <c r="C719" t="s">
        <v>57</v>
      </c>
      <c r="D719" t="s">
        <v>46</v>
      </c>
      <c r="E719" s="51">
        <v>1</v>
      </c>
    </row>
    <row r="720" spans="2:5">
      <c r="B720">
        <v>23</v>
      </c>
      <c r="C720" t="s">
        <v>61</v>
      </c>
      <c r="D720" t="s">
        <v>47</v>
      </c>
      <c r="E720" s="51">
        <v>2</v>
      </c>
    </row>
    <row r="721" spans="1:5">
      <c r="B721">
        <v>26</v>
      </c>
      <c r="C721" t="s">
        <v>58</v>
      </c>
      <c r="D721" t="s">
        <v>46</v>
      </c>
      <c r="E721" s="51">
        <v>2</v>
      </c>
    </row>
    <row r="722" spans="1:5">
      <c r="D722" t="s">
        <v>47</v>
      </c>
      <c r="E722" s="51">
        <v>2</v>
      </c>
    </row>
    <row r="723" spans="1:5">
      <c r="B723">
        <v>27</v>
      </c>
      <c r="C723" t="s">
        <v>59</v>
      </c>
      <c r="D723" t="s">
        <v>46</v>
      </c>
      <c r="E723" s="51">
        <v>2</v>
      </c>
    </row>
    <row r="724" spans="1:5">
      <c r="D724" t="s">
        <v>47</v>
      </c>
      <c r="E724" s="51">
        <v>2</v>
      </c>
    </row>
    <row r="725" spans="1:5">
      <c r="B725">
        <v>28</v>
      </c>
      <c r="C725" t="s">
        <v>60</v>
      </c>
      <c r="D725" t="s">
        <v>47</v>
      </c>
      <c r="E725" s="51">
        <v>1</v>
      </c>
    </row>
    <row r="726" spans="1:5">
      <c r="B726">
        <v>29</v>
      </c>
      <c r="C726" t="s">
        <v>57</v>
      </c>
      <c r="D726" t="s">
        <v>46</v>
      </c>
      <c r="E726" s="51">
        <v>3</v>
      </c>
    </row>
    <row r="727" spans="1:5">
      <c r="D727" t="s">
        <v>47</v>
      </c>
      <c r="E727" s="51">
        <v>2</v>
      </c>
    </row>
    <row r="728" spans="1:5">
      <c r="B728">
        <v>30</v>
      </c>
      <c r="C728" t="s">
        <v>61</v>
      </c>
      <c r="D728" t="s">
        <v>46</v>
      </c>
      <c r="E728" s="51">
        <v>3</v>
      </c>
    </row>
    <row r="729" spans="1:5">
      <c r="D729" t="s">
        <v>47</v>
      </c>
      <c r="E729" s="51">
        <v>4</v>
      </c>
    </row>
    <row r="730" spans="1:5">
      <c r="A730" t="s">
        <v>16</v>
      </c>
      <c r="B730">
        <v>1</v>
      </c>
      <c r="C730" t="s">
        <v>57</v>
      </c>
      <c r="D730" t="s">
        <v>46</v>
      </c>
      <c r="E730" s="51">
        <v>2</v>
      </c>
    </row>
    <row r="731" spans="1:5">
      <c r="B731">
        <v>5</v>
      </c>
      <c r="C731" t="s">
        <v>58</v>
      </c>
      <c r="D731" t="s">
        <v>46</v>
      </c>
      <c r="E731" s="51">
        <v>1</v>
      </c>
    </row>
    <row r="732" spans="1:5">
      <c r="D732" t="s">
        <v>47</v>
      </c>
      <c r="E732" s="51">
        <v>2</v>
      </c>
    </row>
    <row r="733" spans="1:5">
      <c r="B733">
        <v>6</v>
      </c>
      <c r="C733" t="s">
        <v>59</v>
      </c>
      <c r="D733" t="s">
        <v>46</v>
      </c>
      <c r="E733" s="51">
        <v>1</v>
      </c>
    </row>
    <row r="734" spans="1:5">
      <c r="D734" t="s">
        <v>47</v>
      </c>
      <c r="E734" s="51">
        <v>2</v>
      </c>
    </row>
    <row r="735" spans="1:5">
      <c r="B735">
        <v>7</v>
      </c>
      <c r="C735" t="s">
        <v>60</v>
      </c>
      <c r="D735" t="s">
        <v>46</v>
      </c>
      <c r="E735" s="51">
        <v>2</v>
      </c>
    </row>
    <row r="736" spans="1:5">
      <c r="D736" t="s">
        <v>47</v>
      </c>
      <c r="E736" s="51">
        <v>2</v>
      </c>
    </row>
    <row r="737" spans="2:5">
      <c r="B737">
        <v>8</v>
      </c>
      <c r="C737" t="s">
        <v>57</v>
      </c>
      <c r="D737" t="s">
        <v>46</v>
      </c>
      <c r="E737" s="51">
        <v>3</v>
      </c>
    </row>
    <row r="738" spans="2:5">
      <c r="D738" t="s">
        <v>47</v>
      </c>
      <c r="E738" s="51">
        <v>1</v>
      </c>
    </row>
    <row r="739" spans="2:5">
      <c r="B739">
        <v>9</v>
      </c>
      <c r="C739" t="s">
        <v>61</v>
      </c>
      <c r="D739" t="s">
        <v>46</v>
      </c>
      <c r="E739" s="51">
        <v>1</v>
      </c>
    </row>
    <row r="740" spans="2:5">
      <c r="D740" t="s">
        <v>47</v>
      </c>
      <c r="E740" s="51">
        <v>2</v>
      </c>
    </row>
    <row r="741" spans="2:5">
      <c r="B741">
        <v>12</v>
      </c>
      <c r="C741" t="s">
        <v>58</v>
      </c>
      <c r="D741" t="s">
        <v>46</v>
      </c>
      <c r="E741" s="51">
        <v>4</v>
      </c>
    </row>
    <row r="742" spans="2:5">
      <c r="D742" t="s">
        <v>47</v>
      </c>
      <c r="E742" s="51">
        <v>2</v>
      </c>
    </row>
    <row r="743" spans="2:5">
      <c r="B743">
        <v>13</v>
      </c>
      <c r="C743" t="s">
        <v>59</v>
      </c>
      <c r="D743" t="s">
        <v>46</v>
      </c>
      <c r="E743" s="51">
        <v>2</v>
      </c>
    </row>
    <row r="744" spans="2:5">
      <c r="D744" t="s">
        <v>47</v>
      </c>
      <c r="E744" s="51">
        <v>4</v>
      </c>
    </row>
    <row r="745" spans="2:5">
      <c r="B745">
        <v>14</v>
      </c>
      <c r="C745" t="s">
        <v>60</v>
      </c>
      <c r="D745" t="s">
        <v>46</v>
      </c>
      <c r="E745" s="51">
        <v>2</v>
      </c>
    </row>
    <row r="746" spans="2:5">
      <c r="D746" t="s">
        <v>47</v>
      </c>
      <c r="E746" s="51">
        <v>1</v>
      </c>
    </row>
    <row r="747" spans="2:5">
      <c r="B747">
        <v>15</v>
      </c>
      <c r="C747" t="s">
        <v>57</v>
      </c>
      <c r="D747" t="s">
        <v>46</v>
      </c>
      <c r="E747" s="51">
        <v>2</v>
      </c>
    </row>
    <row r="748" spans="2:5">
      <c r="D748" t="s">
        <v>47</v>
      </c>
      <c r="E748" s="51">
        <v>3</v>
      </c>
    </row>
    <row r="749" spans="2:5">
      <c r="B749">
        <v>16</v>
      </c>
      <c r="C749" t="s">
        <v>61</v>
      </c>
      <c r="D749" t="s">
        <v>46</v>
      </c>
      <c r="E749" s="51">
        <v>1</v>
      </c>
    </row>
    <row r="750" spans="2:5">
      <c r="B750">
        <v>19</v>
      </c>
      <c r="C750" t="s">
        <v>58</v>
      </c>
      <c r="D750" t="s">
        <v>46</v>
      </c>
      <c r="E750" s="51">
        <v>2</v>
      </c>
    </row>
    <row r="751" spans="2:5">
      <c r="D751" t="s">
        <v>47</v>
      </c>
      <c r="E751" s="51">
        <v>3</v>
      </c>
    </row>
    <row r="752" spans="2:5">
      <c r="B752">
        <v>20</v>
      </c>
      <c r="C752" t="s">
        <v>59</v>
      </c>
      <c r="D752" t="s">
        <v>46</v>
      </c>
      <c r="E752" s="51">
        <v>3</v>
      </c>
    </row>
    <row r="753" spans="1:5">
      <c r="D753" t="s">
        <v>47</v>
      </c>
      <c r="E753" s="51">
        <v>1</v>
      </c>
    </row>
    <row r="754" spans="1:5">
      <c r="B754">
        <v>22</v>
      </c>
      <c r="C754" t="s">
        <v>57</v>
      </c>
      <c r="D754" t="s">
        <v>46</v>
      </c>
      <c r="E754" s="51">
        <v>2</v>
      </c>
    </row>
    <row r="755" spans="1:5">
      <c r="D755" t="s">
        <v>47</v>
      </c>
      <c r="E755" s="51">
        <v>3</v>
      </c>
    </row>
    <row r="756" spans="1:5">
      <c r="B756">
        <v>23</v>
      </c>
      <c r="C756" t="s">
        <v>61</v>
      </c>
      <c r="D756" t="s">
        <v>46</v>
      </c>
      <c r="E756" s="51">
        <v>3</v>
      </c>
    </row>
    <row r="757" spans="1:5">
      <c r="D757" t="s">
        <v>47</v>
      </c>
      <c r="E757" s="51">
        <v>2</v>
      </c>
    </row>
    <row r="758" spans="1:5">
      <c r="B758">
        <v>26</v>
      </c>
      <c r="C758" t="s">
        <v>58</v>
      </c>
      <c r="D758" t="s">
        <v>46</v>
      </c>
      <c r="E758" s="51">
        <v>1</v>
      </c>
    </row>
    <row r="759" spans="1:5">
      <c r="D759" t="s">
        <v>47</v>
      </c>
      <c r="E759" s="51">
        <v>3</v>
      </c>
    </row>
    <row r="760" spans="1:5">
      <c r="B760">
        <v>27</v>
      </c>
      <c r="C760" t="s">
        <v>59</v>
      </c>
      <c r="D760" t="s">
        <v>46</v>
      </c>
      <c r="E760" s="51">
        <v>4</v>
      </c>
    </row>
    <row r="761" spans="1:5">
      <c r="D761" t="s">
        <v>47</v>
      </c>
      <c r="E761" s="51">
        <v>1</v>
      </c>
    </row>
    <row r="762" spans="1:5">
      <c r="B762">
        <v>28</v>
      </c>
      <c r="C762" t="s">
        <v>60</v>
      </c>
      <c r="D762" t="s">
        <v>46</v>
      </c>
      <c r="E762" s="51">
        <v>2</v>
      </c>
    </row>
    <row r="763" spans="1:5">
      <c r="D763" t="s">
        <v>47</v>
      </c>
      <c r="E763" s="51">
        <v>3</v>
      </c>
    </row>
    <row r="764" spans="1:5">
      <c r="B764">
        <v>29</v>
      </c>
      <c r="C764" t="s">
        <v>57</v>
      </c>
      <c r="D764" t="s">
        <v>46</v>
      </c>
      <c r="E764" s="51">
        <v>2</v>
      </c>
    </row>
    <row r="765" spans="1:5">
      <c r="D765" t="s">
        <v>47</v>
      </c>
      <c r="E765" s="51">
        <v>1</v>
      </c>
    </row>
    <row r="766" spans="1:5">
      <c r="B766">
        <v>30</v>
      </c>
      <c r="C766" t="s">
        <v>61</v>
      </c>
      <c r="D766" t="s">
        <v>46</v>
      </c>
      <c r="E766" s="51">
        <v>3</v>
      </c>
    </row>
    <row r="767" spans="1:5">
      <c r="D767" t="s">
        <v>47</v>
      </c>
      <c r="E767" s="51">
        <v>2</v>
      </c>
    </row>
    <row r="768" spans="1:5">
      <c r="A768" t="s">
        <v>26</v>
      </c>
      <c r="B768">
        <v>5</v>
      </c>
      <c r="C768" t="s">
        <v>58</v>
      </c>
      <c r="D768" t="s">
        <v>47</v>
      </c>
      <c r="E768" s="51">
        <v>2</v>
      </c>
    </row>
    <row r="769" spans="2:5">
      <c r="B769">
        <v>6</v>
      </c>
      <c r="C769" t="s">
        <v>59</v>
      </c>
      <c r="D769" t="s">
        <v>47</v>
      </c>
      <c r="E769" s="51">
        <v>1</v>
      </c>
    </row>
    <row r="770" spans="2:5">
      <c r="B770">
        <v>7</v>
      </c>
      <c r="C770" t="s">
        <v>60</v>
      </c>
      <c r="D770" t="s">
        <v>47</v>
      </c>
      <c r="E770" s="51">
        <v>1</v>
      </c>
    </row>
    <row r="771" spans="2:5">
      <c r="B771">
        <v>8</v>
      </c>
      <c r="C771" t="s">
        <v>57</v>
      </c>
      <c r="D771" t="s">
        <v>47</v>
      </c>
      <c r="E771" s="51">
        <v>2</v>
      </c>
    </row>
    <row r="772" spans="2:5">
      <c r="B772">
        <v>9</v>
      </c>
      <c r="C772" t="s">
        <v>61</v>
      </c>
      <c r="D772" t="s">
        <v>47</v>
      </c>
      <c r="E772" s="51">
        <v>2</v>
      </c>
    </row>
    <row r="773" spans="2:5">
      <c r="B773">
        <v>12</v>
      </c>
      <c r="C773" t="s">
        <v>58</v>
      </c>
      <c r="D773" t="s">
        <v>47</v>
      </c>
      <c r="E773" s="51">
        <v>2</v>
      </c>
    </row>
    <row r="774" spans="2:5">
      <c r="B774">
        <v>13</v>
      </c>
      <c r="C774" t="s">
        <v>59</v>
      </c>
      <c r="D774" t="s">
        <v>47</v>
      </c>
      <c r="E774" s="51">
        <v>2</v>
      </c>
    </row>
    <row r="775" spans="2:5">
      <c r="B775">
        <v>14</v>
      </c>
      <c r="C775" t="s">
        <v>60</v>
      </c>
      <c r="D775" t="s">
        <v>47</v>
      </c>
      <c r="E775" s="51">
        <v>1</v>
      </c>
    </row>
    <row r="776" spans="2:5">
      <c r="B776">
        <v>15</v>
      </c>
      <c r="C776" t="s">
        <v>57</v>
      </c>
      <c r="D776" t="s">
        <v>47</v>
      </c>
      <c r="E776" s="51">
        <v>1</v>
      </c>
    </row>
    <row r="777" spans="2:5">
      <c r="B777">
        <v>16</v>
      </c>
      <c r="C777" t="s">
        <v>61</v>
      </c>
      <c r="D777" t="s">
        <v>47</v>
      </c>
      <c r="E777" s="51">
        <v>2</v>
      </c>
    </row>
    <row r="778" spans="2:5">
      <c r="B778">
        <v>19</v>
      </c>
      <c r="C778" t="s">
        <v>58</v>
      </c>
      <c r="D778" t="s">
        <v>47</v>
      </c>
      <c r="E778" s="51">
        <v>2</v>
      </c>
    </row>
    <row r="779" spans="2:5">
      <c r="B779">
        <v>20</v>
      </c>
      <c r="C779" t="s">
        <v>59</v>
      </c>
      <c r="D779" t="s">
        <v>47</v>
      </c>
      <c r="E779" s="51">
        <v>1</v>
      </c>
    </row>
    <row r="780" spans="2:5">
      <c r="B780">
        <v>22</v>
      </c>
      <c r="C780" t="s">
        <v>57</v>
      </c>
      <c r="D780" t="s">
        <v>47</v>
      </c>
      <c r="E780" s="51">
        <v>1</v>
      </c>
    </row>
    <row r="781" spans="2:5">
      <c r="B781">
        <v>23</v>
      </c>
      <c r="C781" t="s">
        <v>61</v>
      </c>
      <c r="D781" t="s">
        <v>47</v>
      </c>
      <c r="E781" s="51">
        <v>1</v>
      </c>
    </row>
    <row r="782" spans="2:5">
      <c r="B782">
        <v>26</v>
      </c>
      <c r="C782" t="s">
        <v>58</v>
      </c>
      <c r="D782" t="s">
        <v>47</v>
      </c>
      <c r="E782" s="51">
        <v>1</v>
      </c>
    </row>
    <row r="783" spans="2:5">
      <c r="B783">
        <v>27</v>
      </c>
      <c r="C783" t="s">
        <v>59</v>
      </c>
      <c r="D783" t="s">
        <v>47</v>
      </c>
      <c r="E783" s="51">
        <v>1</v>
      </c>
    </row>
    <row r="784" spans="2:5">
      <c r="B784">
        <v>28</v>
      </c>
      <c r="C784" t="s">
        <v>60</v>
      </c>
      <c r="D784" t="s">
        <v>47</v>
      </c>
      <c r="E784" s="51">
        <v>2</v>
      </c>
    </row>
    <row r="785" spans="1:5">
      <c r="B785">
        <v>29</v>
      </c>
      <c r="C785" t="s">
        <v>57</v>
      </c>
      <c r="D785" t="s">
        <v>47</v>
      </c>
      <c r="E785" s="51">
        <v>2</v>
      </c>
    </row>
    <row r="786" spans="1:5">
      <c r="B786">
        <v>30</v>
      </c>
      <c r="C786" t="s">
        <v>61</v>
      </c>
      <c r="D786" t="s">
        <v>47</v>
      </c>
      <c r="E786" s="51">
        <v>1</v>
      </c>
    </row>
    <row r="787" spans="1:5">
      <c r="A787" t="s">
        <v>41</v>
      </c>
      <c r="B787">
        <v>1</v>
      </c>
      <c r="C787" t="s">
        <v>57</v>
      </c>
      <c r="D787" t="s">
        <v>46</v>
      </c>
      <c r="E787" s="51">
        <v>2</v>
      </c>
    </row>
    <row r="788" spans="1:5">
      <c r="B788">
        <v>5</v>
      </c>
      <c r="C788" t="s">
        <v>58</v>
      </c>
      <c r="D788" t="s">
        <v>46</v>
      </c>
      <c r="E788" s="51">
        <v>1</v>
      </c>
    </row>
    <row r="789" spans="1:5">
      <c r="B789">
        <v>6</v>
      </c>
      <c r="C789" t="s">
        <v>59</v>
      </c>
      <c r="D789" t="s">
        <v>46</v>
      </c>
      <c r="E789" s="51">
        <v>2</v>
      </c>
    </row>
    <row r="790" spans="1:5">
      <c r="B790">
        <v>7</v>
      </c>
      <c r="C790" t="s">
        <v>60</v>
      </c>
      <c r="D790" t="s">
        <v>46</v>
      </c>
      <c r="E790" s="51">
        <v>1</v>
      </c>
    </row>
    <row r="791" spans="1:5">
      <c r="B791">
        <v>8</v>
      </c>
      <c r="C791" t="s">
        <v>57</v>
      </c>
      <c r="D791" t="s">
        <v>46</v>
      </c>
      <c r="E791" s="51">
        <v>1</v>
      </c>
    </row>
    <row r="792" spans="1:5">
      <c r="B792">
        <v>9</v>
      </c>
      <c r="C792" t="s">
        <v>61</v>
      </c>
      <c r="D792" t="s">
        <v>46</v>
      </c>
      <c r="E792" s="51">
        <v>1</v>
      </c>
    </row>
    <row r="793" spans="1:5">
      <c r="B793">
        <v>11</v>
      </c>
      <c r="C793" t="s">
        <v>64</v>
      </c>
      <c r="D793" t="s">
        <v>46</v>
      </c>
      <c r="E793" s="51">
        <v>4</v>
      </c>
    </row>
    <row r="794" spans="1:5">
      <c r="B794">
        <v>12</v>
      </c>
      <c r="C794" t="s">
        <v>58</v>
      </c>
      <c r="D794" t="s">
        <v>46</v>
      </c>
      <c r="E794" s="51">
        <v>1</v>
      </c>
    </row>
    <row r="795" spans="1:5">
      <c r="B795">
        <v>13</v>
      </c>
      <c r="C795" t="s">
        <v>59</v>
      </c>
      <c r="D795" t="s">
        <v>46</v>
      </c>
      <c r="E795" s="51">
        <v>2</v>
      </c>
    </row>
    <row r="796" spans="1:5">
      <c r="B796">
        <v>14</v>
      </c>
      <c r="C796" t="s">
        <v>60</v>
      </c>
      <c r="D796" t="s">
        <v>46</v>
      </c>
      <c r="E796" s="51">
        <v>1</v>
      </c>
    </row>
    <row r="797" spans="1:5">
      <c r="B797">
        <v>15</v>
      </c>
      <c r="C797" t="s">
        <v>57</v>
      </c>
      <c r="D797" t="s">
        <v>46</v>
      </c>
      <c r="E797" s="51">
        <v>2</v>
      </c>
    </row>
    <row r="798" spans="1:5">
      <c r="B798">
        <v>16</v>
      </c>
      <c r="C798" t="s">
        <v>61</v>
      </c>
      <c r="D798" t="s">
        <v>46</v>
      </c>
      <c r="E798" s="51">
        <v>2</v>
      </c>
    </row>
    <row r="799" spans="1:5">
      <c r="B799">
        <v>19</v>
      </c>
      <c r="C799" t="s">
        <v>58</v>
      </c>
      <c r="D799" t="s">
        <v>46</v>
      </c>
      <c r="E799" s="51">
        <v>2</v>
      </c>
    </row>
    <row r="800" spans="1:5">
      <c r="B800">
        <v>20</v>
      </c>
      <c r="C800" t="s">
        <v>59</v>
      </c>
      <c r="D800" t="s">
        <v>46</v>
      </c>
      <c r="E800" s="51">
        <v>2</v>
      </c>
    </row>
    <row r="801" spans="1:5">
      <c r="B801">
        <v>22</v>
      </c>
      <c r="C801" t="s">
        <v>57</v>
      </c>
      <c r="D801" t="s">
        <v>46</v>
      </c>
      <c r="E801" s="51">
        <v>2</v>
      </c>
    </row>
    <row r="802" spans="1:5">
      <c r="B802">
        <v>23</v>
      </c>
      <c r="C802" t="s">
        <v>61</v>
      </c>
      <c r="D802" t="s">
        <v>46</v>
      </c>
      <c r="E802" s="51">
        <v>3</v>
      </c>
    </row>
    <row r="803" spans="1:5">
      <c r="B803">
        <v>24</v>
      </c>
      <c r="C803" t="s">
        <v>64</v>
      </c>
      <c r="D803" t="s">
        <v>46</v>
      </c>
      <c r="E803" s="51">
        <v>3</v>
      </c>
    </row>
    <row r="804" spans="1:5">
      <c r="B804">
        <v>26</v>
      </c>
      <c r="C804" t="s">
        <v>58</v>
      </c>
      <c r="D804" t="s">
        <v>46</v>
      </c>
      <c r="E804" s="51">
        <v>3</v>
      </c>
    </row>
    <row r="805" spans="1:5">
      <c r="B805">
        <v>27</v>
      </c>
      <c r="C805" t="s">
        <v>59</v>
      </c>
      <c r="D805" t="s">
        <v>46</v>
      </c>
      <c r="E805" s="51">
        <v>2</v>
      </c>
    </row>
    <row r="806" spans="1:5">
      <c r="B806">
        <v>28</v>
      </c>
      <c r="C806" t="s">
        <v>60</v>
      </c>
      <c r="D806" t="s">
        <v>46</v>
      </c>
      <c r="E806" s="51">
        <v>3</v>
      </c>
    </row>
    <row r="807" spans="1:5">
      <c r="B807">
        <v>29</v>
      </c>
      <c r="C807" t="s">
        <v>57</v>
      </c>
      <c r="D807" t="s">
        <v>46</v>
      </c>
      <c r="E807" s="51">
        <v>3</v>
      </c>
    </row>
    <row r="808" spans="1:5">
      <c r="B808">
        <v>30</v>
      </c>
      <c r="C808" t="s">
        <v>61</v>
      </c>
      <c r="D808" t="s">
        <v>46</v>
      </c>
      <c r="E808" s="51">
        <v>3</v>
      </c>
    </row>
    <row r="809" spans="1:5">
      <c r="A809" t="s">
        <v>35</v>
      </c>
      <c r="B809">
        <v>1</v>
      </c>
      <c r="C809" t="s">
        <v>57</v>
      </c>
      <c r="D809" t="s">
        <v>47</v>
      </c>
      <c r="E809" s="51">
        <v>2</v>
      </c>
    </row>
    <row r="810" spans="1:5">
      <c r="B810">
        <v>5</v>
      </c>
      <c r="C810" t="s">
        <v>58</v>
      </c>
      <c r="D810" t="s">
        <v>47</v>
      </c>
      <c r="E810" s="51">
        <v>2</v>
      </c>
    </row>
    <row r="811" spans="1:5">
      <c r="B811">
        <v>6</v>
      </c>
      <c r="C811" t="s">
        <v>59</v>
      </c>
      <c r="D811" t="s">
        <v>47</v>
      </c>
      <c r="E811" s="51">
        <v>2</v>
      </c>
    </row>
    <row r="812" spans="1:5">
      <c r="B812">
        <v>7</v>
      </c>
      <c r="C812" t="s">
        <v>60</v>
      </c>
      <c r="D812" t="s">
        <v>47</v>
      </c>
      <c r="E812" s="51">
        <v>2</v>
      </c>
    </row>
    <row r="813" spans="1:5">
      <c r="B813">
        <v>8</v>
      </c>
      <c r="C813" t="s">
        <v>57</v>
      </c>
      <c r="D813" t="s">
        <v>47</v>
      </c>
      <c r="E813" s="51">
        <v>1</v>
      </c>
    </row>
    <row r="814" spans="1:5">
      <c r="B814">
        <v>9</v>
      </c>
      <c r="C814" t="s">
        <v>61</v>
      </c>
      <c r="D814" t="s">
        <v>47</v>
      </c>
      <c r="E814" s="51">
        <v>1</v>
      </c>
    </row>
    <row r="815" spans="1:5">
      <c r="B815">
        <v>12</v>
      </c>
      <c r="C815" t="s">
        <v>58</v>
      </c>
      <c r="D815" t="s">
        <v>47</v>
      </c>
      <c r="E815" s="51">
        <v>1</v>
      </c>
    </row>
    <row r="816" spans="1:5">
      <c r="B816">
        <v>13</v>
      </c>
      <c r="C816" t="s">
        <v>59</v>
      </c>
      <c r="D816" t="s">
        <v>47</v>
      </c>
      <c r="E816" s="51">
        <v>2</v>
      </c>
    </row>
    <row r="817" spans="2:5">
      <c r="B817">
        <v>19</v>
      </c>
      <c r="C817" t="s">
        <v>58</v>
      </c>
      <c r="D817" t="s">
        <v>47</v>
      </c>
      <c r="E817" s="51">
        <v>3</v>
      </c>
    </row>
    <row r="818" spans="2:5">
      <c r="B818">
        <v>23</v>
      </c>
      <c r="C818" t="s">
        <v>61</v>
      </c>
      <c r="D818" t="s">
        <v>47</v>
      </c>
      <c r="E818" s="51">
        <v>1</v>
      </c>
    </row>
    <row r="819" spans="2:5">
      <c r="B819">
        <v>26</v>
      </c>
      <c r="C819" t="s">
        <v>58</v>
      </c>
      <c r="D819" t="s">
        <v>47</v>
      </c>
      <c r="E819" s="51">
        <v>1</v>
      </c>
    </row>
    <row r="820" spans="2:5">
      <c r="B820">
        <v>27</v>
      </c>
      <c r="C820" t="s">
        <v>59</v>
      </c>
      <c r="D820" t="s">
        <v>47</v>
      </c>
      <c r="E820" s="51">
        <v>1</v>
      </c>
    </row>
    <row r="821" spans="2:5">
      <c r="B821">
        <v>28</v>
      </c>
      <c r="C821" t="s">
        <v>60</v>
      </c>
      <c r="D821" t="s">
        <v>47</v>
      </c>
      <c r="E821" s="51">
        <v>2</v>
      </c>
    </row>
    <row r="822" spans="2:5">
      <c r="B822">
        <v>29</v>
      </c>
      <c r="C822" t="s">
        <v>57</v>
      </c>
      <c r="D822" t="s">
        <v>47</v>
      </c>
      <c r="E822" s="51">
        <v>1</v>
      </c>
    </row>
    <row r="823" spans="2:5">
      <c r="B823">
        <v>30</v>
      </c>
      <c r="C823" t="s">
        <v>61</v>
      </c>
      <c r="D823" t="s">
        <v>47</v>
      </c>
      <c r="E823" s="51">
        <v>3</v>
      </c>
    </row>
  </sheetData>
  <sheetProtection selectLockedCells="1" selectUnlockedCells="1"/>
  <mergeCells count="11">
    <mergeCell ref="AL5:AM5"/>
    <mergeCell ref="AQ5:AR5"/>
    <mergeCell ref="AV5:AW5"/>
    <mergeCell ref="AH1:AX1"/>
    <mergeCell ref="AE1:AF2"/>
    <mergeCell ref="AS3:AU4"/>
    <mergeCell ref="AN3:AP4"/>
    <mergeCell ref="AQ3:AR4"/>
    <mergeCell ref="AI3:AK4"/>
    <mergeCell ref="AL3:AM4"/>
    <mergeCell ref="AV3:AW4"/>
  </mergeCells>
  <phoneticPr fontId="23" type="noConversion"/>
  <conditionalFormatting sqref="AL5:AM5">
    <cfRule type="cellIs" dxfId="2" priority="3" operator="equal">
      <formula>""</formula>
    </cfRule>
  </conditionalFormatting>
  <conditionalFormatting sqref="AQ5:AR5">
    <cfRule type="cellIs" dxfId="1" priority="2" operator="equal">
      <formula>""</formula>
    </cfRule>
  </conditionalFormatting>
  <conditionalFormatting sqref="AV5:AW5">
    <cfRule type="cellIs" dxfId="0" priority="1" operator="equal">
      <formula>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83BF0-738E-4124-AF7D-59120EB461BD}">
  <dimension ref="A1:X29"/>
  <sheetViews>
    <sheetView showGridLines="0" showRowColHeaders="0" workbookViewId="0">
      <selection activeCell="V16" sqref="V16"/>
    </sheetView>
  </sheetViews>
  <sheetFormatPr defaultColWidth="0" defaultRowHeight="14.4" zeroHeight="1"/>
  <cols>
    <col min="1" max="24" width="8.88671875" customWidth="1"/>
    <col min="25" max="16384" width="8.88671875" hidden="1"/>
  </cols>
  <sheetData>
    <row r="1" spans="1:24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</row>
    <row r="2" spans="1:24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</row>
    <row r="3" spans="1:24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4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4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</row>
    <row r="6" spans="1:24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7" spans="1:24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</row>
    <row r="8" spans="1:24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1:24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</row>
    <row r="10" spans="1:24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</row>
    <row r="11" spans="1:24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</row>
    <row r="12" spans="1:24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</row>
    <row r="13" spans="1:24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</row>
    <row r="14" spans="1:24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</row>
    <row r="15" spans="1:24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</row>
    <row r="16" spans="1:24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</row>
    <row r="17" spans="1:24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</row>
    <row r="18" spans="1:24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</row>
    <row r="19" spans="1:24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</row>
    <row r="20" spans="1:24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</row>
    <row r="21" spans="1:24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</row>
    <row r="22" spans="1:24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</row>
    <row r="23" spans="1:24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</row>
    <row r="24" spans="1:24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</row>
    <row r="25" spans="1:24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</row>
    <row r="26" spans="1:24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</row>
    <row r="27" spans="1:24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</row>
    <row r="28" spans="1:24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1:24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</row>
  </sheetData>
  <sheetProtection algorithmName="SHA-512" hashValue="nSxnMOSnMJMvP9J/Bd9pePkkYy7RJJAUHj6k/K1iOzjC/LFydP+2Jckanfw+xVLdjRt5MIWcOYH6Of3BzLXTfw==" saltValue="7oYzO6qABhuMAFvOAt4rVA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Painel</vt:lpstr>
      <vt:lpstr>Base de Dados</vt:lpstr>
      <vt:lpstr>Aba auxiliar</vt:lpstr>
      <vt:lpstr>Bônus - Dashboard</vt:lpstr>
      <vt:lpstr>Desenvolvedor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Rodolfo Mendes Nascimento</dc:creator>
  <cp:lastModifiedBy>Lealdo Rodrigues</cp:lastModifiedBy>
  <dcterms:created xsi:type="dcterms:W3CDTF">2021-05-10T13:13:27Z</dcterms:created>
  <dcterms:modified xsi:type="dcterms:W3CDTF">2023-03-11T01:09:54Z</dcterms:modified>
</cp:coreProperties>
</file>